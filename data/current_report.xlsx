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1" name="February" state="visible" r:id="rId4"/>
    <sheet sheetId="2" name="Detailed stat" state="visible" r:id="rId5"/>
  </sheets>
  <calcPr calcId="171027"/>
</workbook>
</file>

<file path=xl/sharedStrings.xml><?xml version="1.0" encoding="utf-8"?>
<sst xmlns="http://schemas.openxmlformats.org/spreadsheetml/2006/main" count="189" uniqueCount="100">
  <si>
    <t>Office of the Library Services</t>
  </si>
  <si>
    <t xml:space="preserve">STATISTICAL REPORT on the LIBRARY USERS
Daily Breakdown - FEBRUARY 2026</t>
  </si>
  <si>
    <t>Bachelor of Science in Psychology</t>
  </si>
  <si>
    <t>FEBRUARY 2026</t>
  </si>
  <si>
    <t>TOTAL</t>
  </si>
  <si>
    <t xml:space="preserve">Bachelor of Science in Psychology
(COLLEGE OF ARTS AND SCIENCES)</t>
  </si>
  <si>
    <t xml:space="preserve">Number of  Male
Requestor</t>
  </si>
  <si>
    <t xml:space="preserve">Number of Female
Requestor</t>
  </si>
  <si>
    <t>Bachelor of Arts in Communication</t>
  </si>
  <si>
    <t xml:space="preserve">Bachelor of Arts in Communication
(COLLEGE OF ARTS AND SCIENCES)</t>
  </si>
  <si>
    <t xml:space="preserve">Number of  Female
Requestor</t>
  </si>
  <si>
    <t>Bachelor of Industrial Technology Major in Electrical Technology</t>
  </si>
  <si>
    <t xml:space="preserve">Bachelor of Industrial Technology Major in Electrical Technology
(COLLEGE OF INDUSTRIAL TECHNOLOGY)</t>
  </si>
  <si>
    <t xml:space="preserve">Number of Male
Requestor</t>
  </si>
  <si>
    <t>Bachelor of Industrial Technology Major in Computer Technology</t>
  </si>
  <si>
    <t xml:space="preserve">Bachelor of Industrial Technology Major in Computer Technology
(COLLEGE OF INDUSTRIAL TECHNOLOGY)</t>
  </si>
  <si>
    <t>Bachelor of Industrial Technology Major in Instrumentation &amp; Communication Technology</t>
  </si>
  <si>
    <t xml:space="preserve">Bachelor of Industrial Technology Major in Instrumentation &amp; Communication Technology
(COLLEGE OF INDUSTRIAL TECHNOLOGY)</t>
  </si>
  <si>
    <t>Bachelor of Industrial Technology Major in Electronics Technology</t>
  </si>
  <si>
    <t xml:space="preserve">Bachelor of Industrial Technology Major in Electronics Technology
(COLLEGE OF INDUSTRIAL TECHNOLOGY)</t>
  </si>
  <si>
    <t>Bachelor of Science in Information Technology - Business Analytics Track</t>
  </si>
  <si>
    <t xml:space="preserve">Bachelor of Science in Information Technology
(COLLEGE OF INFORMATICS AND COMPUTING SCIENCES)</t>
  </si>
  <si>
    <t>Bachelor of Science in Information Technology - Service Management Track</t>
  </si>
  <si>
    <t>Bachelor of Science in Information Technology - Network Technology Track</t>
  </si>
  <si>
    <t>Bachelor of Science in Business Administration Major in Human Resource Management</t>
  </si>
  <si>
    <t xml:space="preserve">Bachelor of Science in Business Administration Major in Human Resource Management
(COLLEGE OF ACCOUNTING AND BUSINESS ECONOMICS)</t>
  </si>
  <si>
    <t>Bachelor of Science in Business Administration Major in  Operations Management</t>
  </si>
  <si>
    <t>Bachelor of Science in Business Administration Major in Marketing Management</t>
  </si>
  <si>
    <t>Bachelor of Science in Management Accounting</t>
  </si>
  <si>
    <t>(COLLEGE OF ACCOUNTING AND BUSINESS ECONOMICS)</t>
  </si>
  <si>
    <t>Bachelor of Science in Public Administration</t>
  </si>
  <si>
    <t>Bachelor of Science in Education Major in Mathematics</t>
  </si>
  <si>
    <t xml:space="preserve">Bachelor of Science in Education Major in Mathematics
(COLLEGE OF TEACHING AND EDUCATION) </t>
  </si>
  <si>
    <t>Bachelor of Science in Education Major in Science</t>
  </si>
  <si>
    <t>Bachelor of Science in Education Major in English</t>
  </si>
  <si>
    <t>Faculty / Non-Teaching Personnel</t>
  </si>
  <si>
    <t>Outside Researchers</t>
  </si>
  <si>
    <t>Prepared by:</t>
  </si>
  <si>
    <t>Reviewed by:</t>
  </si>
  <si>
    <t>Certified Correct:</t>
  </si>
  <si>
    <t>DONALIN C. TRINIDAD, RL</t>
  </si>
  <si>
    <t>CARLO M. PASTRANA, RL, MLIS</t>
  </si>
  <si>
    <t>ENGR. JONNAH R. MELO</t>
  </si>
  <si>
    <t xml:space="preserve">Administrative Aide VI
Date: FEBRUARY 05, 2026</t>
  </si>
  <si>
    <t xml:space="preserve">College Librarian I
Date: FEBRUARY 05, 2026</t>
  </si>
  <si>
    <t xml:space="preserve">Head, Library Services
Date: FEBRUARY 05, 2026</t>
  </si>
  <si>
    <t>Republic of the Philippines</t>
  </si>
  <si>
    <t>BATANGAS STATE UNIVERSITY</t>
  </si>
  <si>
    <t>The National Engineering University</t>
  </si>
  <si>
    <t>Lipa Campus</t>
  </si>
  <si>
    <t>A Tanco Drive, Brgy. Marawoy Lipa City, Batangas, Philippines 4217</t>
  </si>
  <si>
    <t>Tel Nos.: (+63 43) 980-0385; 980-0387; 980-0392 to 94 loc. 3110</t>
  </si>
  <si>
    <t>E-mail Address: library.lipa@g.batstate-u.edu.ph | Website Address: http://www.library.batstate-u.edu.ph</t>
  </si>
  <si>
    <t>LIBRARY USERS FOR THE MONTH OF FEBRUARY 2026</t>
  </si>
  <si>
    <t>College/Department/Office</t>
  </si>
  <si>
    <t>Subtotal</t>
  </si>
  <si>
    <t>Dept</t>
  </si>
  <si>
    <t>Course</t>
  </si>
  <si>
    <t>Male</t>
  </si>
  <si>
    <t>Female</t>
  </si>
  <si>
    <t>Total No. of User</t>
  </si>
  <si>
    <t>Total per Dept.</t>
  </si>
  <si>
    <t>CET</t>
  </si>
  <si>
    <t xml:space="preserve">C
A
S</t>
  </si>
  <si>
    <t>BS PSY</t>
  </si>
  <si>
    <t>CAS</t>
  </si>
  <si>
    <t>BA COMM</t>
  </si>
  <si>
    <t>CICS</t>
  </si>
  <si>
    <t xml:space="preserve">C
E
T</t>
  </si>
  <si>
    <t>BIT ELT</t>
  </si>
  <si>
    <t>CABE</t>
  </si>
  <si>
    <t>BIT CPT</t>
  </si>
  <si>
    <t>CTE</t>
  </si>
  <si>
    <t>BIT I&amp;C</t>
  </si>
  <si>
    <t>FACULTY / NON-TEACHING PERSONNEL</t>
  </si>
  <si>
    <t>BIT ELX</t>
  </si>
  <si>
    <t>OUTSIDE RESEARCHERS</t>
  </si>
  <si>
    <t xml:space="preserve">C
I
C
S</t>
  </si>
  <si>
    <t>BSIT BA</t>
  </si>
  <si>
    <t xml:space="preserve">OVERALL
TOTAL:</t>
  </si>
  <si>
    <t>BSIT SM</t>
  </si>
  <si>
    <t>BSIT NT</t>
  </si>
  <si>
    <t xml:space="preserve">C
A
B
E</t>
  </si>
  <si>
    <t>BSBA HRM</t>
  </si>
  <si>
    <t>BSBA OM</t>
  </si>
  <si>
    <t>DONALIN  C. TRINIDAD, RL</t>
  </si>
  <si>
    <t>BSBA MM</t>
  </si>
  <si>
    <t xml:space="preserve">Administrative Aide VI
Date: </t>
  </si>
  <si>
    <t>BS MA</t>
  </si>
  <si>
    <t>BS PA</t>
  </si>
  <si>
    <t xml:space="preserve">C
T
E</t>
  </si>
  <si>
    <t>BSED Mathematics</t>
  </si>
  <si>
    <t>BSED Science</t>
  </si>
  <si>
    <t>BSED English</t>
  </si>
  <si>
    <t xml:space="preserve">College Librarian I
Date: </t>
  </si>
  <si>
    <t xml:space="preserve">O
T
H
E
R
S</t>
  </si>
  <si>
    <t>SUMMARY</t>
  </si>
  <si>
    <t xml:space="preserve">Head, Library Services
Date: </t>
  </si>
  <si>
    <t>Number of Male Requestor</t>
  </si>
  <si>
    <t>Number of  Female Requestor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</si>
</sst>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color theme="1"/>
      <family val="2"/>
      <scheme val="minor"/>
      <sz val="11"/>
      <name val="Calibri"/>
    </font>
    <font>
      <color theme="1"/>
      <sz val="11"/>
      <name val="Times New Roman"/>
    </font>
    <font>
      <sz val="11"/>
      <name val="Calibri"/>
    </font>
    <font>
      <color theme="1"/>
      <scheme val="minor"/>
      <sz val="11"/>
      <name val="Calibri"/>
    </font>
    <font>
      <b/>
      <color theme="1"/>
      <sz val="12"/>
      <name val="Times New Roman"/>
    </font>
    <font>
      <b/>
      <i/>
      <color rgb="FFFFFFFF"/>
      <sz val="12"/>
      <name val="Times New Roman"/>
    </font>
    <font>
      <color theme="1"/>
      <sz val="10"/>
      <name val="Times New Roman"/>
    </font>
    <font>
      <b/>
      <color theme="1"/>
      <sz val="10"/>
      <name val="Times New Roman"/>
    </font>
    <font>
      <i/>
      <color theme="1"/>
      <sz val="11"/>
      <name val="Times New Roman"/>
    </font>
    <font>
      <color theme="1"/>
      <sz val="12"/>
      <name val="Times New Roman"/>
    </font>
    <font>
      <b/>
      <color theme="1"/>
      <sz val="9"/>
      <name val="Times New Roman"/>
    </font>
    <font>
      <color theme="1"/>
      <sz val="11"/>
      <name val="Calibri"/>
    </font>
    <font>
      <b/>
      <color theme="1"/>
      <sz val="11"/>
      <name val="Times New Roman"/>
    </font>
    <font>
      <b/>
      <i/>
      <color rgb="FF000000"/>
      <sz val="12"/>
      <name val="Times New Roman"/>
    </font>
    <font>
      <b/>
      <color rgb="FF231F20"/>
      <sz val="12"/>
      <name val="Times New Roman"/>
    </font>
    <font>
      <b/>
      <color theme="0"/>
      <sz val="11"/>
      <name val="Times New Roman"/>
    </font>
    <font>
      <b/>
      <color rgb="FF231F20"/>
      <sz val="16"/>
      <name val="Times New Roman"/>
    </font>
    <font>
      <b/>
      <color rgb="FFD2232A"/>
      <sz val="12"/>
      <name val="Arial"/>
    </font>
    <font>
      <b/>
      <color rgb="FF231F20"/>
      <sz val="11"/>
      <name val="Times New Roman"/>
    </font>
    <font>
      <u/>
      <color rgb="FF0563C1"/>
      <sz val="11"/>
      <name val="Times New Roman"/>
    </font>
    <font>
      <b/>
      <color rgb="FFFFFFFF"/>
      <sz val="12"/>
      <name val="Times New Roman"/>
    </font>
    <font>
      <b/>
      <color rgb="FFFFFFFF"/>
      <sz val="11"/>
      <name val="Times New Roman"/>
    </font>
    <font>
      <b/>
      <color rgb="FFFFFFFF"/>
      <sz val="15"/>
      <name val="Times New Roman"/>
    </font>
    <font>
      <b/>
      <i/>
      <color rgb="FF000000"/>
      <sz val="11"/>
      <name val="Times New Roman"/>
    </font>
    <font>
      <b/>
      <color rgb="FF000000"/>
      <sz val="11"/>
      <name val="Times New Roman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D8D8D8"/>
        <bgColor rgb="FFD8D8D8"/>
      </patternFill>
    </fill>
    <fill>
      <patternFill patternType="solid">
        <fgColor rgb="FFF4B083"/>
        <bgColor rgb="FFF4B083"/>
      </patternFill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85200C"/>
        <bgColor rgb="FF85200C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434343"/>
        <bgColor rgb="FF434343"/>
      </patternFill>
    </fill>
    <fill>
      <patternFill patternType="solid">
        <fgColor rgb="FFF9CB9C"/>
        <bgColor rgb="FFF9CB9C"/>
      </patternFill>
    </fill>
    <fill>
      <patternFill patternType="solid">
        <fgColor rgb="FF38761D"/>
        <bgColor rgb="FF38761D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980000"/>
        <bgColor rgb="FF980000"/>
      </patternFill>
    </fill>
    <fill>
      <patternFill patternType="solid">
        <fgColor rgb="FF783F04"/>
        <bgColor rgb="FF783F04"/>
      </patternFill>
    </fill>
    <fill>
      <patternFill patternType="solid">
        <fgColor rgb="FFFCE5CD"/>
        <bgColor rgb="FFFCE5CD"/>
      </patternFill>
    </fill>
    <fill>
      <patternFill patternType="solid">
        <fgColor rgb="FFF1C232"/>
        <bgColor rgb="FFF1C232"/>
      </patternFill>
    </fill>
    <fill>
      <patternFill patternType="solid">
        <fgColor rgb="FF1C4587"/>
        <bgColor rgb="FF1C4587"/>
      </patternFill>
    </fill>
    <fill>
      <patternFill patternType="solid">
        <fgColor rgb="FF8E7CC3"/>
        <bgColor rgb="FF8E7CC3"/>
      </patternFill>
    </fill>
    <fill>
      <patternFill patternType="solid">
        <fgColor rgb="FFCCCCCC"/>
        <bgColor rgb="FFCCCCCC"/>
      </patternFill>
    </fill>
  </fills>
  <borders count="3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4" fillId="0" borderId="0" xfId="0" applyFont="1" applyAlignment="1">
      <alignment horizontal="left" vertical="center"/>
    </xf>
    <xf numFmtId="0" fontId="1" fillId="0" borderId="0" xfId="0" applyFont="1"/>
    <xf numFmtId="0" fontId="4" fillId="0" borderId="0" xfId="0" applyFont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49" fontId="4" fillId="4" borderId="2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2" fillId="0" borderId="7" xfId="0" applyFont="1" applyBorder="1"/>
    <xf numFmtId="0" fontId="5" fillId="8" borderId="2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11" fillId="9" borderId="0" xfId="0" applyFont="1" applyFill="1"/>
    <xf numFmtId="0" fontId="1" fillId="4" borderId="5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wrapText="1"/>
    </xf>
    <xf numFmtId="0" fontId="10" fillId="6" borderId="7" xfId="0" applyFont="1" applyFill="1" applyBorder="1" applyAlignment="1">
      <alignment horizontal="center" wrapText="1"/>
    </xf>
    <xf numFmtId="0" fontId="5" fillId="12" borderId="2" xfId="0" applyFont="1" applyFill="1" applyBorder="1" applyAlignment="1">
      <alignment horizontal="center" vertical="center"/>
    </xf>
    <xf numFmtId="0" fontId="1" fillId="2" borderId="0" xfId="0" applyFont="1" applyFill="1"/>
    <xf numFmtId="0" fontId="5" fillId="13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11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wrapText="1"/>
    </xf>
    <xf numFmtId="0" fontId="14" fillId="0" borderId="0" xfId="0" applyFont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9" fillId="0" borderId="8" xfId="0" applyFont="1" applyBorder="1" applyAlignment="1">
      <alignment horizontal="center"/>
    </xf>
    <xf numFmtId="0" fontId="2" fillId="0" borderId="8" xfId="0" applyFont="1" applyBorder="1"/>
    <xf numFmtId="0" fontId="4" fillId="0" borderId="0" xfId="0" applyFont="1" applyAlignment="1">
      <alignment horizontal="center" vertical="center"/>
    </xf>
    <xf numFmtId="0" fontId="1" fillId="13" borderId="5" xfId="0" applyFont="1" applyFill="1" applyBorder="1" applyAlignment="1">
      <alignment horizontal="center" vertical="center" wrapText="1"/>
    </xf>
    <xf numFmtId="0" fontId="20" fillId="15" borderId="9" xfId="0" applyFont="1" applyFill="1" applyBorder="1" applyAlignment="1">
      <alignment horizontal="center" vertical="center" wrapText="1"/>
    </xf>
    <xf numFmtId="0" fontId="21" fillId="15" borderId="10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2" fillId="0" borderId="12" xfId="0" applyFont="1" applyBorder="1"/>
    <xf numFmtId="0" fontId="21" fillId="15" borderId="9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" fillId="16" borderId="5" xfId="0" applyFont="1" applyFill="1" applyBorder="1" applyAlignment="1">
      <alignment horizontal="center" vertical="center" wrapText="1"/>
    </xf>
    <xf numFmtId="0" fontId="22" fillId="17" borderId="13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2" fillId="0" borderId="14" xfId="0" applyFont="1" applyBorder="1"/>
    <xf numFmtId="0" fontId="2" fillId="0" borderId="15" xfId="0" applyFont="1" applyBorder="1"/>
    <xf numFmtId="0" fontId="12" fillId="18" borderId="16" xfId="0" applyFont="1" applyFill="1" applyBorder="1" applyAlignment="1">
      <alignment horizontal="center" vertical="center" wrapText="1"/>
    </xf>
    <xf numFmtId="0" fontId="12" fillId="19" borderId="17" xfId="0" applyFont="1" applyFill="1" applyBorder="1" applyAlignment="1">
      <alignment horizontal="center" vertical="center" wrapText="1"/>
    </xf>
    <xf numFmtId="0" fontId="12" fillId="20" borderId="13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8" fillId="0" borderId="19" xfId="0" applyFont="1" applyBorder="1" applyAlignment="1">
      <alignment horizontal="center" vertical="center" wrapText="1"/>
    </xf>
    <xf numFmtId="0" fontId="2" fillId="0" borderId="19" xfId="0" applyFont="1" applyBorder="1"/>
    <xf numFmtId="0" fontId="2" fillId="0" borderId="20" xfId="0" applyFont="1" applyBorder="1"/>
    <xf numFmtId="0" fontId="12" fillId="18" borderId="21" xfId="0" applyFont="1" applyFill="1" applyBorder="1" applyAlignment="1">
      <alignment horizontal="center" vertical="center" wrapText="1"/>
    </xf>
    <xf numFmtId="0" fontId="12" fillId="19" borderId="22" xfId="0" applyFont="1" applyFill="1" applyBorder="1" applyAlignment="1">
      <alignment horizontal="center" vertical="center" wrapText="1"/>
    </xf>
    <xf numFmtId="0" fontId="22" fillId="21" borderId="13" xfId="0" applyFont="1" applyFill="1" applyBorder="1" applyAlignment="1">
      <alignment horizontal="center" vertical="center" wrapText="1"/>
    </xf>
    <xf numFmtId="0" fontId="2" fillId="0" borderId="23" xfId="0" applyFont="1" applyBorder="1"/>
    <xf numFmtId="0" fontId="8" fillId="0" borderId="3" xfId="0" applyFont="1" applyBorder="1" applyAlignment="1">
      <alignment horizontal="center" vertical="center" wrapText="1"/>
    </xf>
    <xf numFmtId="0" fontId="12" fillId="18" borderId="5" xfId="0" applyFont="1" applyFill="1" applyBorder="1" applyAlignment="1">
      <alignment horizontal="center" vertical="center" wrapText="1"/>
    </xf>
    <xf numFmtId="0" fontId="12" fillId="19" borderId="2" xfId="0" applyFont="1" applyFill="1" applyBorder="1" applyAlignment="1">
      <alignment horizontal="center" vertical="center" wrapText="1"/>
    </xf>
    <xf numFmtId="0" fontId="22" fillId="22" borderId="13" xfId="0" applyFont="1" applyFill="1" applyBorder="1" applyAlignment="1">
      <alignment horizontal="center" vertical="center" wrapText="1"/>
    </xf>
    <xf numFmtId="0" fontId="1" fillId="23" borderId="5" xfId="0" applyFont="1" applyFill="1" applyBorder="1" applyAlignment="1">
      <alignment horizontal="center" vertical="center" wrapText="1"/>
    </xf>
    <xf numFmtId="0" fontId="1" fillId="23" borderId="5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/>
    </xf>
    <xf numFmtId="0" fontId="11" fillId="0" borderId="24" xfId="0" applyFont="1" applyBorder="1"/>
    <xf numFmtId="0" fontId="2" fillId="0" borderId="24" xfId="0" applyFont="1" applyBorder="1"/>
    <xf numFmtId="0" fontId="21" fillId="2" borderId="0" xfId="0" applyFont="1" applyFill="1" applyAlignment="1">
      <alignment horizontal="center" vertical="center"/>
    </xf>
    <xf numFmtId="0" fontId="21" fillId="15" borderId="0" xfId="0" applyFont="1" applyFill="1" applyAlignment="1">
      <alignment horizontal="center" vertical="center"/>
    </xf>
    <xf numFmtId="0" fontId="11" fillId="15" borderId="0" xfId="0" applyFont="1" applyFill="1"/>
    <xf numFmtId="0" fontId="22" fillId="24" borderId="13" xfId="0" applyFont="1" applyFill="1" applyBorder="1" applyAlignment="1">
      <alignment horizontal="center" vertical="center" wrapText="1"/>
    </xf>
    <xf numFmtId="0" fontId="11" fillId="2" borderId="0" xfId="0" applyFont="1" applyFill="1"/>
    <xf numFmtId="0" fontId="22" fillId="25" borderId="13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1" fillId="15" borderId="0" xfId="0" applyFont="1" applyFill="1" applyAlignment="1">
      <alignment horizontal="center" vertical="center" wrapText="1"/>
    </xf>
    <xf numFmtId="0" fontId="20" fillId="26" borderId="13" xfId="0" applyFont="1" applyFill="1" applyBorder="1" applyAlignment="1">
      <alignment horizontal="center" vertical="center" wrapText="1"/>
    </xf>
    <xf numFmtId="0" fontId="21" fillId="15" borderId="0" xfId="0" applyFont="1" applyFill="1" applyAlignment="1">
      <alignment horizontal="center"/>
    </xf>
    <xf numFmtId="0" fontId="8" fillId="0" borderId="24" xfId="0" applyFont="1" applyBorder="1" applyAlignment="1">
      <alignment horizontal="center" vertical="center" wrapText="1"/>
    </xf>
    <xf numFmtId="0" fontId="2" fillId="0" borderId="25" xfId="0" applyFont="1" applyBorder="1"/>
    <xf numFmtId="0" fontId="12" fillId="18" borderId="6" xfId="0" applyFont="1" applyFill="1" applyBorder="1" applyAlignment="1">
      <alignment horizontal="center" vertical="center" wrapText="1"/>
    </xf>
    <xf numFmtId="0" fontId="12" fillId="19" borderId="26" xfId="0" applyFont="1" applyFill="1" applyBorder="1" applyAlignment="1">
      <alignment horizontal="center" vertical="center" wrapText="1"/>
    </xf>
    <xf numFmtId="0" fontId="9" fillId="15" borderId="0" xfId="0" applyFont="1" applyFill="1"/>
    <xf numFmtId="0" fontId="12" fillId="20" borderId="10" xfId="0" applyFont="1" applyFill="1" applyBorder="1" applyAlignment="1">
      <alignment horizontal="center" vertical="center" wrapText="1"/>
    </xf>
    <xf numFmtId="0" fontId="12" fillId="20" borderId="9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21" fillId="15" borderId="27" xfId="0" applyFont="1" applyFill="1" applyBorder="1" applyAlignment="1">
      <alignment horizontal="center" vertical="center"/>
    </xf>
    <xf numFmtId="0" fontId="2" fillId="0" borderId="28" xfId="0" applyFont="1" applyBorder="1"/>
    <xf numFmtId="0" fontId="23" fillId="2" borderId="29" xfId="0" applyFont="1" applyFill="1" applyBorder="1" applyAlignment="1">
      <alignment vertical="center" wrapText="1"/>
    </xf>
    <xf numFmtId="0" fontId="24" fillId="27" borderId="5" xfId="0" applyFont="1" applyFill="1" applyBorder="1" applyAlignment="1">
      <alignment horizontal="center" vertical="center" wrapText="1"/>
    </xf>
    <xf numFmtId="0" fontId="24" fillId="19" borderId="30" xfId="0" applyFont="1" applyFill="1" applyBorder="1" applyAlignment="1">
      <alignment horizontal="center" vertical="center" wrapText="1"/>
    </xf>
    <xf numFmtId="0" fontId="23" fillId="2" borderId="31" xfId="0" applyFont="1" applyFill="1" applyBorder="1" applyAlignment="1">
      <alignment vertical="center" wrapText="1"/>
    </xf>
    <xf numFmtId="0" fontId="24" fillId="27" borderId="21" xfId="0" applyFont="1" applyFill="1" applyBorder="1" applyAlignment="1">
      <alignment horizontal="center" vertical="center" wrapText="1"/>
    </xf>
    <xf numFmtId="0" fontId="2" fillId="0" borderId="32" xfId="0" applyFont="1" applyBorder="1"/>
    <xf numFmtId="0" fontId="23" fillId="2" borderId="0" xfId="0" applyFont="1" applyFill="1" applyAlignment="1">
      <alignment vertical="center" wrapText="1"/>
    </xf>
    <xf numFmtId="0" fontId="4" fillId="1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923925</xdr:colOff>
      <xdr:row>1</xdr:row>
      <xdr:rowOff>38100</xdr:rowOff>
    </xdr:from>
    <xdr:ext cx="971550" cy="914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www.batstate-u.edu.ph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953"/>
  <sheetViews>
    <sheetView workbookViewId="0" zoomScale="70" zoomScaleNormal="70">
      <selection activeCell="AI80" sqref="AI80"/>
    </sheetView>
  </sheetViews>
  <sheetFormatPr defaultRowHeight="15" outlineLevelRow="0" outlineLevelCol="0" x14ac:dyDescent="0" defaultColWidth="14.42578125"/>
  <cols>
    <col min="1" max="1" width="24.7109375" customWidth="1"/>
    <col min="2" max="2" width="28.42578125" customWidth="1"/>
    <col min="3" max="4" width="5.140625" customWidth="1"/>
    <col min="5" max="5" width="4.7109375" customWidth="1"/>
    <col min="6" max="6" width="5" customWidth="1"/>
    <col min="7" max="10" width="4.7109375" customWidth="1"/>
    <col min="11" max="11" width="5" customWidth="1"/>
    <col min="12" max="13" width="4.7109375" customWidth="1"/>
    <col min="14" max="14" width="5" customWidth="1"/>
    <col min="15" max="15" width="4.5703125" customWidth="1"/>
    <col min="16" max="17" width="5" customWidth="1"/>
    <col min="18" max="19" width="4.7109375" customWidth="1"/>
    <col min="20" max="20" width="5" customWidth="1"/>
    <col min="21" max="23" width="4.7109375" customWidth="1"/>
    <col min="24" max="24" width="5" customWidth="1"/>
    <col min="25" max="25" width="5.140625" customWidth="1"/>
    <col min="26" max="26" width="4.7109375" customWidth="1"/>
    <col min="27" max="27" width="5" customWidth="1"/>
    <col min="28" max="28" width="4.7109375" customWidth="1"/>
    <col min="29" max="29" width="5" customWidth="1"/>
    <col min="30" max="30" width="4.5703125" customWidth="1"/>
    <col min="31" max="31" width="5.140625" customWidth="1"/>
    <col min="32" max="32" width="5" customWidth="1"/>
    <col min="33" max="33" width="5.7109375" customWidth="1"/>
    <col min="34" max="34" width="7.28515625" customWidth="1"/>
  </cols>
  <sheetData>
    <row r="1" ht="15" customHeight="1" spans="1:34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" customHeight="1" spans="1:34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5" customHeight="1" spans="1:34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ht="15" customHeight="1" spans="1:34" x14ac:dyDescent="0.2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ht="15" customHeight="1" spans="1:34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5" customHeight="1" spans="1:34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ht="15" customHeight="1" spans="1:34" x14ac:dyDescent="0.2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5" customHeight="1" spans="1:34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3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ht="26.25" customHeight="1" spans="1:34" x14ac:dyDescent="0.25">
      <c r="A10" s="5" t="s">
        <v>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6"/>
    </row>
    <row r="11" ht="39.75" customHeight="1" spans="1:34" x14ac:dyDescent="0.25">
      <c r="A11" s="7" t="s">
        <v>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32.25" customHeight="1" spans="1:34" x14ac:dyDescent="0.25">
      <c r="A12" s="8" t="s">
        <v>2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10"/>
    </row>
    <row r="13" ht="32.25" customHeight="1" spans="1:34" x14ac:dyDescent="0.25">
      <c r="A13" s="11" t="s">
        <v>3</v>
      </c>
      <c r="B13" s="10"/>
      <c r="C13" s="12">
        <v>1</v>
      </c>
      <c r="D13" s="12">
        <v>2</v>
      </c>
      <c r="E13" s="12">
        <v>3</v>
      </c>
      <c r="F13" s="12">
        <v>4</v>
      </c>
      <c r="G13" s="12">
        <v>5</v>
      </c>
      <c r="H13" s="12">
        <v>6</v>
      </c>
      <c r="I13" s="12">
        <v>7</v>
      </c>
      <c r="J13" s="12">
        <v>8</v>
      </c>
      <c r="K13" s="12">
        <v>9</v>
      </c>
      <c r="L13" s="12">
        <v>10</v>
      </c>
      <c r="M13" s="12">
        <v>11</v>
      </c>
      <c r="N13" s="12">
        <v>12</v>
      </c>
      <c r="O13" s="12">
        <v>13</v>
      </c>
      <c r="P13" s="12">
        <v>14</v>
      </c>
      <c r="Q13" s="12">
        <v>15</v>
      </c>
      <c r="R13" s="12">
        <v>16</v>
      </c>
      <c r="S13" s="12">
        <v>17</v>
      </c>
      <c r="T13" s="12">
        <v>18</v>
      </c>
      <c r="U13" s="12">
        <v>19</v>
      </c>
      <c r="V13" s="12">
        <v>20</v>
      </c>
      <c r="W13" s="12">
        <v>21</v>
      </c>
      <c r="X13" s="12">
        <v>22</v>
      </c>
      <c r="Y13" s="12">
        <v>23</v>
      </c>
      <c r="Z13" s="12">
        <v>24</v>
      </c>
      <c r="AA13" s="12">
        <v>25</v>
      </c>
      <c r="AB13" s="12">
        <v>26</v>
      </c>
      <c r="AC13" s="12">
        <v>27</v>
      </c>
      <c r="AD13" s="12">
        <v>28</v>
      </c>
      <c r="AE13" s="12">
        <v>29</v>
      </c>
      <c r="AF13" s="12">
        <v>30</v>
      </c>
      <c r="AG13" s="12">
        <v>31</v>
      </c>
      <c r="AH13" s="13" t="s">
        <v>4</v>
      </c>
    </row>
    <row r="14" ht="32.25" customHeight="1" spans="1:34" x14ac:dyDescent="0.25">
      <c r="A14" s="14" t="s">
        <v>5</v>
      </c>
      <c r="B14" s="15" t="s">
        <v>6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7">
        <f t="shared" ref="AH14:AH15" si="0">SUM(C14:AG14)</f>
        <v>0</v>
      </c>
    </row>
    <row r="15" ht="32.25" customHeight="1" spans="1:34" x14ac:dyDescent="0.25">
      <c r="A15" s="18"/>
      <c r="B15" s="15" t="s">
        <v>7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7">
        <f t="shared" si="0"/>
        <v>0</v>
      </c>
    </row>
    <row r="16" ht="32.25" customHeight="1" spans="1:34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ht="32.25" customHeight="1" spans="1:34" x14ac:dyDescent="0.25">
      <c r="A17" s="8" t="s">
        <v>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10"/>
    </row>
    <row r="18" ht="32.25" customHeight="1" spans="1:34" x14ac:dyDescent="0.25">
      <c r="A18" s="11" t="s">
        <v>3</v>
      </c>
      <c r="B18" s="10"/>
      <c r="C18" s="12">
        <v>1</v>
      </c>
      <c r="D18" s="12">
        <v>2</v>
      </c>
      <c r="E18" s="12">
        <v>3</v>
      </c>
      <c r="F18" s="12">
        <v>4</v>
      </c>
      <c r="G18" s="12">
        <v>5</v>
      </c>
      <c r="H18" s="12">
        <v>6</v>
      </c>
      <c r="I18" s="12">
        <v>7</v>
      </c>
      <c r="J18" s="12">
        <v>8</v>
      </c>
      <c r="K18" s="12">
        <v>9</v>
      </c>
      <c r="L18" s="12">
        <v>10</v>
      </c>
      <c r="M18" s="12">
        <v>11</v>
      </c>
      <c r="N18" s="12">
        <v>12</v>
      </c>
      <c r="O18" s="12">
        <v>13</v>
      </c>
      <c r="P18" s="12">
        <v>14</v>
      </c>
      <c r="Q18" s="12">
        <v>15</v>
      </c>
      <c r="R18" s="12">
        <v>16</v>
      </c>
      <c r="S18" s="12">
        <v>17</v>
      </c>
      <c r="T18" s="12">
        <v>18</v>
      </c>
      <c r="U18" s="12">
        <v>19</v>
      </c>
      <c r="V18" s="12">
        <v>20</v>
      </c>
      <c r="W18" s="12">
        <v>21</v>
      </c>
      <c r="X18" s="12">
        <v>22</v>
      </c>
      <c r="Y18" s="12">
        <v>23</v>
      </c>
      <c r="Z18" s="12">
        <v>24</v>
      </c>
      <c r="AA18" s="12">
        <v>25</v>
      </c>
      <c r="AB18" s="12">
        <v>26</v>
      </c>
      <c r="AC18" s="12">
        <v>27</v>
      </c>
      <c r="AD18" s="12">
        <v>28</v>
      </c>
      <c r="AE18" s="12">
        <v>29</v>
      </c>
      <c r="AF18" s="12">
        <v>30</v>
      </c>
      <c r="AG18" s="12">
        <v>31</v>
      </c>
      <c r="AH18" s="13" t="s">
        <v>4</v>
      </c>
    </row>
    <row r="19" ht="32.25" customHeight="1" spans="1:34" x14ac:dyDescent="0.25">
      <c r="A19" s="14" t="s">
        <v>9</v>
      </c>
      <c r="B19" s="15" t="s">
        <v>6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7">
        <f t="shared" ref="AH19:AH20" si="1">SUM(C19:AG19)</f>
        <v>0</v>
      </c>
    </row>
    <row r="20" ht="32.25" customHeight="1" spans="1:34" x14ac:dyDescent="0.25">
      <c r="A20" s="18"/>
      <c r="B20" s="15" t="s">
        <v>10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7">
        <f t="shared" si="1"/>
        <v>0</v>
      </c>
    </row>
    <row r="21" ht="32.25" customHeight="1" spans="1:34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ht="32.25" customHeight="1" spans="1:34" x14ac:dyDescent="0.25">
      <c r="A22" s="19" t="s">
        <v>11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10"/>
    </row>
    <row r="23" ht="32.25" customHeight="1" spans="1:34" x14ac:dyDescent="0.25">
      <c r="A23" s="11" t="s">
        <v>3</v>
      </c>
      <c r="B23" s="10"/>
      <c r="C23" s="12">
        <v>1</v>
      </c>
      <c r="D23" s="12">
        <v>2</v>
      </c>
      <c r="E23" s="12">
        <v>3</v>
      </c>
      <c r="F23" s="12">
        <v>4</v>
      </c>
      <c r="G23" s="12">
        <v>5</v>
      </c>
      <c r="H23" s="12">
        <v>6</v>
      </c>
      <c r="I23" s="12">
        <v>7</v>
      </c>
      <c r="J23" s="12">
        <v>8</v>
      </c>
      <c r="K23" s="12">
        <v>9</v>
      </c>
      <c r="L23" s="12">
        <v>10</v>
      </c>
      <c r="M23" s="12">
        <v>11</v>
      </c>
      <c r="N23" s="12">
        <v>12</v>
      </c>
      <c r="O23" s="12">
        <v>13</v>
      </c>
      <c r="P23" s="12">
        <v>14</v>
      </c>
      <c r="Q23" s="12">
        <v>15</v>
      </c>
      <c r="R23" s="12">
        <v>16</v>
      </c>
      <c r="S23" s="12">
        <v>17</v>
      </c>
      <c r="T23" s="12">
        <v>18</v>
      </c>
      <c r="U23" s="12">
        <v>19</v>
      </c>
      <c r="V23" s="12">
        <v>20</v>
      </c>
      <c r="W23" s="12">
        <v>21</v>
      </c>
      <c r="X23" s="12">
        <v>22</v>
      </c>
      <c r="Y23" s="12">
        <v>23</v>
      </c>
      <c r="Z23" s="12">
        <v>24</v>
      </c>
      <c r="AA23" s="12">
        <v>25</v>
      </c>
      <c r="AB23" s="12">
        <v>26</v>
      </c>
      <c r="AC23" s="12">
        <v>27</v>
      </c>
      <c r="AD23" s="12">
        <v>28</v>
      </c>
      <c r="AE23" s="12">
        <v>29</v>
      </c>
      <c r="AF23" s="12">
        <v>30</v>
      </c>
      <c r="AG23" s="12">
        <v>31</v>
      </c>
      <c r="AH23" s="13" t="s">
        <v>4</v>
      </c>
    </row>
    <row r="24" ht="32.25" customHeight="1" spans="1:34" x14ac:dyDescent="0.25">
      <c r="A24" s="14" t="s">
        <v>12</v>
      </c>
      <c r="B24" s="15" t="s">
        <v>13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6</v>
      </c>
      <c r="L24" s="16">
        <v>0</v>
      </c>
      <c r="M24" s="16">
        <v>3</v>
      </c>
      <c r="N24" s="16">
        <v>4</v>
      </c>
      <c r="O24" s="16">
        <v>0</v>
      </c>
      <c r="P24" s="16">
        <v>0</v>
      </c>
      <c r="Q24" s="16">
        <v>0</v>
      </c>
      <c r="R24" s="16">
        <v>9</v>
      </c>
      <c r="S24" s="16">
        <v>0</v>
      </c>
      <c r="T24" s="16">
        <v>0</v>
      </c>
      <c r="U24" s="16">
        <v>8</v>
      </c>
      <c r="V24" s="16">
        <v>0</v>
      </c>
      <c r="W24" s="16">
        <v>0</v>
      </c>
      <c r="X24" s="16">
        <v>0</v>
      </c>
      <c r="Y24" s="16">
        <v>5</v>
      </c>
      <c r="Z24" s="16">
        <v>0</v>
      </c>
      <c r="AA24" s="16">
        <v>1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7">
        <f t="shared" ref="AH24:AH25" si="2">SUM(C24:AG24)</f>
        <v>0</v>
      </c>
    </row>
    <row r="25" ht="32.25" customHeight="1" spans="1:34" x14ac:dyDescent="0.25">
      <c r="A25" s="18"/>
      <c r="B25" s="15" t="s">
        <v>7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1</v>
      </c>
      <c r="O25" s="16">
        <v>0</v>
      </c>
      <c r="P25" s="16">
        <v>0</v>
      </c>
      <c r="Q25" s="16">
        <v>0</v>
      </c>
      <c r="R25" s="16">
        <v>1</v>
      </c>
      <c r="S25" s="16">
        <v>0</v>
      </c>
      <c r="T25" s="16">
        <v>0</v>
      </c>
      <c r="U25" s="16">
        <v>1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7">
        <f t="shared" si="2"/>
        <v>0</v>
      </c>
    </row>
    <row r="26" ht="32.25" customHeight="1" spans="1:34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ht="32.25" customHeight="1" spans="1:34" x14ac:dyDescent="0.25">
      <c r="A27" s="19" t="s">
        <v>14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10"/>
    </row>
    <row r="28" ht="32.25" customHeight="1" spans="1:34" x14ac:dyDescent="0.25">
      <c r="A28" s="11" t="s">
        <v>3</v>
      </c>
      <c r="B28" s="10"/>
      <c r="C28" s="12">
        <v>1</v>
      </c>
      <c r="D28" s="12">
        <v>2</v>
      </c>
      <c r="E28" s="12">
        <v>3</v>
      </c>
      <c r="F28" s="12">
        <v>4</v>
      </c>
      <c r="G28" s="12">
        <v>5</v>
      </c>
      <c r="H28" s="12">
        <v>6</v>
      </c>
      <c r="I28" s="12">
        <v>7</v>
      </c>
      <c r="J28" s="12">
        <v>8</v>
      </c>
      <c r="K28" s="12">
        <v>9</v>
      </c>
      <c r="L28" s="12">
        <v>10</v>
      </c>
      <c r="M28" s="12">
        <v>11</v>
      </c>
      <c r="N28" s="12">
        <v>12</v>
      </c>
      <c r="O28" s="12">
        <v>13</v>
      </c>
      <c r="P28" s="12">
        <v>14</v>
      </c>
      <c r="Q28" s="12">
        <v>15</v>
      </c>
      <c r="R28" s="12">
        <v>16</v>
      </c>
      <c r="S28" s="12">
        <v>17</v>
      </c>
      <c r="T28" s="12">
        <v>18</v>
      </c>
      <c r="U28" s="12">
        <v>19</v>
      </c>
      <c r="V28" s="12">
        <v>20</v>
      </c>
      <c r="W28" s="12">
        <v>21</v>
      </c>
      <c r="X28" s="12">
        <v>22</v>
      </c>
      <c r="Y28" s="12">
        <v>23</v>
      </c>
      <c r="Z28" s="12">
        <v>24</v>
      </c>
      <c r="AA28" s="12">
        <v>25</v>
      </c>
      <c r="AB28" s="12">
        <v>26</v>
      </c>
      <c r="AC28" s="12">
        <v>27</v>
      </c>
      <c r="AD28" s="12">
        <v>28</v>
      </c>
      <c r="AE28" s="12">
        <v>29</v>
      </c>
      <c r="AF28" s="12">
        <v>30</v>
      </c>
      <c r="AG28" s="12">
        <v>31</v>
      </c>
      <c r="AH28" s="13" t="s">
        <v>4</v>
      </c>
    </row>
    <row r="29" ht="32.25" customHeight="1" spans="1:34" x14ac:dyDescent="0.25">
      <c r="A29" s="20" t="s">
        <v>15</v>
      </c>
      <c r="B29" s="15" t="s">
        <v>13</v>
      </c>
      <c r="C29" s="16">
        <v>0</v>
      </c>
      <c r="D29" s="16">
        <v>0</v>
      </c>
      <c r="E29" s="16">
        <v>1</v>
      </c>
      <c r="F29" s="16">
        <v>3</v>
      </c>
      <c r="G29" s="16">
        <v>1</v>
      </c>
      <c r="H29" s="16">
        <v>1</v>
      </c>
      <c r="I29" s="16">
        <v>0</v>
      </c>
      <c r="J29" s="16">
        <v>0</v>
      </c>
      <c r="K29" s="16">
        <v>5</v>
      </c>
      <c r="L29" s="16">
        <v>0</v>
      </c>
      <c r="M29" s="16">
        <v>0</v>
      </c>
      <c r="N29" s="16">
        <v>1</v>
      </c>
      <c r="O29" s="16">
        <v>4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3</v>
      </c>
      <c r="V29" s="16">
        <v>0</v>
      </c>
      <c r="W29" s="16">
        <v>0</v>
      </c>
      <c r="X29" s="16">
        <v>0</v>
      </c>
      <c r="Y29" s="16">
        <v>5</v>
      </c>
      <c r="Z29" s="16">
        <v>1</v>
      </c>
      <c r="AA29" s="16">
        <v>2</v>
      </c>
      <c r="AB29" s="16">
        <v>1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7">
        <f t="shared" ref="AH29:AH30" si="3">SUM(C29:AG29)</f>
        <v>0</v>
      </c>
    </row>
    <row r="30" ht="32.25" customHeight="1" spans="1:34" x14ac:dyDescent="0.25">
      <c r="A30" s="18"/>
      <c r="B30" s="15" t="s">
        <v>7</v>
      </c>
      <c r="C30" s="16">
        <v>0</v>
      </c>
      <c r="D30" s="16">
        <v>0</v>
      </c>
      <c r="E30" s="16">
        <v>2</v>
      </c>
      <c r="F30" s="16">
        <v>5</v>
      </c>
      <c r="G30" s="16">
        <v>4</v>
      </c>
      <c r="H30" s="16">
        <v>0</v>
      </c>
      <c r="I30" s="16">
        <v>0</v>
      </c>
      <c r="J30" s="16">
        <v>0</v>
      </c>
      <c r="K30" s="16">
        <v>2</v>
      </c>
      <c r="L30" s="16">
        <v>0</v>
      </c>
      <c r="M30" s="16">
        <v>0</v>
      </c>
      <c r="N30" s="16">
        <v>2</v>
      </c>
      <c r="O30" s="16">
        <v>3</v>
      </c>
      <c r="P30" s="16">
        <v>0</v>
      </c>
      <c r="Q30" s="16">
        <v>0</v>
      </c>
      <c r="R30" s="16">
        <v>0</v>
      </c>
      <c r="S30" s="16">
        <v>0</v>
      </c>
      <c r="T30" s="16">
        <v>3</v>
      </c>
      <c r="U30" s="16">
        <v>2</v>
      </c>
      <c r="V30" s="16">
        <v>0</v>
      </c>
      <c r="W30" s="16">
        <v>0</v>
      </c>
      <c r="X30" s="16">
        <v>0</v>
      </c>
      <c r="Y30" s="16">
        <v>2</v>
      </c>
      <c r="Z30" s="16">
        <v>0</v>
      </c>
      <c r="AA30" s="16">
        <v>1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7">
        <f t="shared" si="3"/>
        <v>0</v>
      </c>
    </row>
    <row r="31" ht="32.25" customHeight="1" spans="1:34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 ht="32.25" customHeight="1" spans="1:34" x14ac:dyDescent="0.25">
      <c r="A32" s="19" t="s">
        <v>16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10"/>
    </row>
    <row r="33" ht="32.25" customHeight="1" spans="1:34" x14ac:dyDescent="0.25">
      <c r="A33" s="11" t="s">
        <v>3</v>
      </c>
      <c r="B33" s="10"/>
      <c r="C33" s="12">
        <v>1</v>
      </c>
      <c r="D33" s="12">
        <v>2</v>
      </c>
      <c r="E33" s="12">
        <v>3</v>
      </c>
      <c r="F33" s="12">
        <v>4</v>
      </c>
      <c r="G33" s="12">
        <v>5</v>
      </c>
      <c r="H33" s="12">
        <v>6</v>
      </c>
      <c r="I33" s="12">
        <v>7</v>
      </c>
      <c r="J33" s="12">
        <v>8</v>
      </c>
      <c r="K33" s="12">
        <v>9</v>
      </c>
      <c r="L33" s="12">
        <v>10</v>
      </c>
      <c r="M33" s="12">
        <v>11</v>
      </c>
      <c r="N33" s="12">
        <v>12</v>
      </c>
      <c r="O33" s="12">
        <v>13</v>
      </c>
      <c r="P33" s="12">
        <v>14</v>
      </c>
      <c r="Q33" s="12">
        <v>15</v>
      </c>
      <c r="R33" s="12">
        <v>16</v>
      </c>
      <c r="S33" s="12">
        <v>17</v>
      </c>
      <c r="T33" s="12">
        <v>18</v>
      </c>
      <c r="U33" s="12">
        <v>19</v>
      </c>
      <c r="V33" s="12">
        <v>20</v>
      </c>
      <c r="W33" s="12">
        <v>21</v>
      </c>
      <c r="X33" s="12">
        <v>22</v>
      </c>
      <c r="Y33" s="12">
        <v>23</v>
      </c>
      <c r="Z33" s="12">
        <v>24</v>
      </c>
      <c r="AA33" s="12">
        <v>25</v>
      </c>
      <c r="AB33" s="12">
        <v>26</v>
      </c>
      <c r="AC33" s="12">
        <v>27</v>
      </c>
      <c r="AD33" s="12">
        <v>28</v>
      </c>
      <c r="AE33" s="12">
        <v>29</v>
      </c>
      <c r="AF33" s="12">
        <v>30</v>
      </c>
      <c r="AG33" s="12">
        <v>31</v>
      </c>
      <c r="AH33" s="13" t="s">
        <v>4</v>
      </c>
    </row>
    <row r="34" ht="32.25" customHeight="1" spans="1:34" x14ac:dyDescent="0.25">
      <c r="A34" s="21" t="s">
        <v>17</v>
      </c>
      <c r="B34" s="15" t="s">
        <v>13</v>
      </c>
      <c r="C34" s="16">
        <v>0</v>
      </c>
      <c r="D34" s="16">
        <v>0</v>
      </c>
      <c r="E34" s="16">
        <v>2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1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2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1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7">
        <f t="shared" ref="AH34:AH35" si="4">SUM(C34:AG34)</f>
        <v>0</v>
      </c>
    </row>
    <row r="35" ht="32.25" customHeight="1" spans="1:34" x14ac:dyDescent="0.25">
      <c r="A35" s="18"/>
      <c r="B35" s="15" t="s">
        <v>7</v>
      </c>
      <c r="C35" s="16">
        <v>0</v>
      </c>
      <c r="D35" s="16">
        <v>0</v>
      </c>
      <c r="E35" s="16">
        <v>1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2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7">
        <f t="shared" si="4"/>
        <v>0</v>
      </c>
    </row>
    <row r="36" ht="32.25" customHeight="1" spans="3:5" x14ac:dyDescent="0.25">
      <c r="C36" s="22"/>
      <c r="D36" s="22"/>
      <c r="E36" s="22"/>
    </row>
    <row r="37" ht="32.25" customHeight="1" spans="1:34" x14ac:dyDescent="0.25">
      <c r="A37" s="19" t="s">
        <v>18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10"/>
    </row>
    <row r="38" ht="32.25" customHeight="1" spans="1:34" x14ac:dyDescent="0.25">
      <c r="A38" s="11" t="s">
        <v>3</v>
      </c>
      <c r="B38" s="10"/>
      <c r="C38" s="23">
        <v>1</v>
      </c>
      <c r="D38" s="23">
        <v>2</v>
      </c>
      <c r="E38" s="23">
        <v>3</v>
      </c>
      <c r="F38" s="23">
        <v>4</v>
      </c>
      <c r="G38" s="23">
        <v>5</v>
      </c>
      <c r="H38" s="23">
        <v>6</v>
      </c>
      <c r="I38" s="23">
        <v>7</v>
      </c>
      <c r="J38" s="23">
        <v>8</v>
      </c>
      <c r="K38" s="23">
        <v>9</v>
      </c>
      <c r="L38" s="23">
        <v>10</v>
      </c>
      <c r="M38" s="23">
        <v>11</v>
      </c>
      <c r="N38" s="23">
        <v>12</v>
      </c>
      <c r="O38" s="23">
        <v>13</v>
      </c>
      <c r="P38" s="23">
        <v>14</v>
      </c>
      <c r="Q38" s="23">
        <v>15</v>
      </c>
      <c r="R38" s="23">
        <v>16</v>
      </c>
      <c r="S38" s="23">
        <v>17</v>
      </c>
      <c r="T38" s="23">
        <v>18</v>
      </c>
      <c r="U38" s="23">
        <v>19</v>
      </c>
      <c r="V38" s="23">
        <v>20</v>
      </c>
      <c r="W38" s="23">
        <v>21</v>
      </c>
      <c r="X38" s="23">
        <v>22</v>
      </c>
      <c r="Y38" s="23">
        <v>23</v>
      </c>
      <c r="Z38" s="23">
        <v>24</v>
      </c>
      <c r="AA38" s="23">
        <v>25</v>
      </c>
      <c r="AB38" s="23">
        <v>26</v>
      </c>
      <c r="AC38" s="23">
        <v>27</v>
      </c>
      <c r="AD38" s="23">
        <v>28</v>
      </c>
      <c r="AE38" s="23">
        <v>29</v>
      </c>
      <c r="AF38" s="23">
        <v>30</v>
      </c>
      <c r="AG38" s="23">
        <v>31</v>
      </c>
      <c r="AH38" s="24" t="s">
        <v>4</v>
      </c>
    </row>
    <row r="39" ht="32.25" customHeight="1" spans="1:34" x14ac:dyDescent="0.25">
      <c r="A39" s="20" t="s">
        <v>19</v>
      </c>
      <c r="B39" s="15" t="s">
        <v>13</v>
      </c>
      <c r="C39" s="16">
        <v>0</v>
      </c>
      <c r="D39" s="16">
        <v>2</v>
      </c>
      <c r="E39" s="16">
        <v>1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4</v>
      </c>
      <c r="L39" s="16">
        <v>0</v>
      </c>
      <c r="M39" s="16">
        <v>0</v>
      </c>
      <c r="N39" s="16">
        <v>0</v>
      </c>
      <c r="O39" s="16">
        <v>1</v>
      </c>
      <c r="P39" s="16">
        <v>0</v>
      </c>
      <c r="Q39" s="16">
        <v>0</v>
      </c>
      <c r="R39" s="16">
        <v>2</v>
      </c>
      <c r="S39" s="16">
        <v>0</v>
      </c>
      <c r="T39" s="16">
        <v>3</v>
      </c>
      <c r="U39" s="16">
        <v>3</v>
      </c>
      <c r="V39" s="16">
        <v>0</v>
      </c>
      <c r="W39" s="16">
        <v>0</v>
      </c>
      <c r="X39" s="16">
        <v>0</v>
      </c>
      <c r="Y39" s="16">
        <v>6</v>
      </c>
      <c r="Z39" s="16">
        <v>1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7">
        <f t="shared" ref="AH39:AH40" si="5">SUM(C39:AG39)</f>
        <v>0</v>
      </c>
    </row>
    <row r="40" ht="32.25" customHeight="1" spans="1:34" x14ac:dyDescent="0.25">
      <c r="A40" s="18"/>
      <c r="B40" s="15" t="s">
        <v>7</v>
      </c>
      <c r="C40" s="16">
        <v>0</v>
      </c>
      <c r="D40" s="16">
        <v>0</v>
      </c>
      <c r="E40" s="16">
        <v>2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4</v>
      </c>
      <c r="L40" s="16">
        <v>0</v>
      </c>
      <c r="M40" s="16">
        <v>0</v>
      </c>
      <c r="N40" s="16">
        <v>0</v>
      </c>
      <c r="O40" s="16">
        <v>1</v>
      </c>
      <c r="P40" s="16">
        <v>0</v>
      </c>
      <c r="Q40" s="16">
        <v>0</v>
      </c>
      <c r="R40" s="16">
        <v>4</v>
      </c>
      <c r="S40" s="16">
        <v>0</v>
      </c>
      <c r="T40" s="16">
        <v>0</v>
      </c>
      <c r="U40" s="16">
        <v>2</v>
      </c>
      <c r="V40" s="16">
        <v>0</v>
      </c>
      <c r="W40" s="16">
        <v>0</v>
      </c>
      <c r="X40" s="16">
        <v>0</v>
      </c>
      <c r="Y40" s="16">
        <v>2</v>
      </c>
      <c r="Z40" s="16">
        <v>1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7">
        <f t="shared" si="5"/>
        <v>0</v>
      </c>
    </row>
    <row r="41" ht="32.25" customHeight="1" spans="1:34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 ht="32.25" customHeight="1" spans="1:34" x14ac:dyDescent="0.25">
      <c r="A42" s="25" t="s">
        <v>20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10"/>
    </row>
    <row r="43" ht="32.25" customHeight="1" spans="1:34" x14ac:dyDescent="0.25">
      <c r="A43" s="11" t="s">
        <v>3</v>
      </c>
      <c r="B43" s="10"/>
      <c r="C43" s="12">
        <v>1</v>
      </c>
      <c r="D43" s="12">
        <v>2</v>
      </c>
      <c r="E43" s="12">
        <v>3</v>
      </c>
      <c r="F43" s="12">
        <v>4</v>
      </c>
      <c r="G43" s="12">
        <v>5</v>
      </c>
      <c r="H43" s="12">
        <v>6</v>
      </c>
      <c r="I43" s="12">
        <v>7</v>
      </c>
      <c r="J43" s="12">
        <v>8</v>
      </c>
      <c r="K43" s="12">
        <v>9</v>
      </c>
      <c r="L43" s="12">
        <v>10</v>
      </c>
      <c r="M43" s="12">
        <v>11</v>
      </c>
      <c r="N43" s="12">
        <v>12</v>
      </c>
      <c r="O43" s="12">
        <v>13</v>
      </c>
      <c r="P43" s="12">
        <v>14</v>
      </c>
      <c r="Q43" s="12">
        <v>15</v>
      </c>
      <c r="R43" s="12">
        <v>16</v>
      </c>
      <c r="S43" s="12">
        <v>17</v>
      </c>
      <c r="T43" s="12">
        <v>18</v>
      </c>
      <c r="U43" s="12">
        <v>19</v>
      </c>
      <c r="V43" s="12">
        <v>20</v>
      </c>
      <c r="W43" s="12">
        <v>21</v>
      </c>
      <c r="X43" s="12">
        <v>22</v>
      </c>
      <c r="Y43" s="12">
        <v>23</v>
      </c>
      <c r="Z43" s="12">
        <v>24</v>
      </c>
      <c r="AA43" s="12">
        <v>25</v>
      </c>
      <c r="AB43" s="12">
        <v>26</v>
      </c>
      <c r="AC43" s="12">
        <v>27</v>
      </c>
      <c r="AD43" s="12">
        <v>28</v>
      </c>
      <c r="AE43" s="12">
        <v>29</v>
      </c>
      <c r="AF43" s="12">
        <v>30</v>
      </c>
      <c r="AG43" s="12">
        <v>31</v>
      </c>
      <c r="AH43" s="13" t="s">
        <v>4</v>
      </c>
    </row>
    <row r="44" ht="32.25" customHeight="1" spans="1:34" x14ac:dyDescent="0.25">
      <c r="A44" s="21" t="s">
        <v>21</v>
      </c>
      <c r="B44" s="15" t="s">
        <v>13</v>
      </c>
      <c r="C44" s="16">
        <v>0</v>
      </c>
      <c r="D44" s="16">
        <v>6</v>
      </c>
      <c r="E44" s="16">
        <v>1</v>
      </c>
      <c r="F44" s="16">
        <v>4</v>
      </c>
      <c r="G44" s="16">
        <v>3</v>
      </c>
      <c r="H44" s="16">
        <v>2</v>
      </c>
      <c r="I44" s="16">
        <v>0</v>
      </c>
      <c r="J44" s="16">
        <v>0</v>
      </c>
      <c r="K44" s="16">
        <v>1</v>
      </c>
      <c r="L44" s="16">
        <v>8</v>
      </c>
      <c r="M44" s="16">
        <v>7</v>
      </c>
      <c r="N44" s="16">
        <v>13</v>
      </c>
      <c r="O44" s="16">
        <v>2</v>
      </c>
      <c r="P44" s="16">
        <v>0</v>
      </c>
      <c r="Q44" s="16">
        <v>0</v>
      </c>
      <c r="R44" s="16">
        <v>1</v>
      </c>
      <c r="S44" s="16">
        <v>0</v>
      </c>
      <c r="T44" s="16">
        <v>4</v>
      </c>
      <c r="U44" s="16">
        <v>1</v>
      </c>
      <c r="V44" s="16">
        <v>0</v>
      </c>
      <c r="W44" s="16">
        <v>0</v>
      </c>
      <c r="X44" s="16">
        <v>0</v>
      </c>
      <c r="Y44" s="16">
        <v>17</v>
      </c>
      <c r="Z44" s="16">
        <v>4</v>
      </c>
      <c r="AA44" s="16">
        <v>0</v>
      </c>
      <c r="AB44" s="16">
        <v>8</v>
      </c>
      <c r="AC44" s="16">
        <v>4</v>
      </c>
      <c r="AD44" s="16">
        <v>1</v>
      </c>
      <c r="AE44" s="16">
        <v>0</v>
      </c>
      <c r="AF44" s="16">
        <v>0</v>
      </c>
      <c r="AG44" s="16">
        <v>0</v>
      </c>
      <c r="AH44" s="17">
        <f t="shared" ref="AH44:AH45" si="6">SUM(C44:AG44)</f>
        <v>0</v>
      </c>
    </row>
    <row r="45" ht="32.25" customHeight="1" spans="1:34" x14ac:dyDescent="0.25">
      <c r="A45" s="18"/>
      <c r="B45" s="15" t="s">
        <v>7</v>
      </c>
      <c r="C45" s="16">
        <v>0</v>
      </c>
      <c r="D45" s="16">
        <v>2</v>
      </c>
      <c r="E45" s="16">
        <v>0</v>
      </c>
      <c r="F45" s="16">
        <v>3</v>
      </c>
      <c r="G45" s="16">
        <v>4</v>
      </c>
      <c r="H45" s="16">
        <v>1</v>
      </c>
      <c r="I45" s="16">
        <v>0</v>
      </c>
      <c r="J45" s="16">
        <v>0</v>
      </c>
      <c r="K45" s="16">
        <v>0</v>
      </c>
      <c r="L45" s="16">
        <v>9</v>
      </c>
      <c r="M45" s="16">
        <v>0</v>
      </c>
      <c r="N45" s="16">
        <v>4</v>
      </c>
      <c r="O45" s="16">
        <v>3</v>
      </c>
      <c r="P45" s="16">
        <v>0</v>
      </c>
      <c r="Q45" s="16">
        <v>0</v>
      </c>
      <c r="R45" s="16">
        <v>0</v>
      </c>
      <c r="S45" s="16">
        <v>0</v>
      </c>
      <c r="T45" s="16">
        <v>1</v>
      </c>
      <c r="U45" s="16">
        <v>3</v>
      </c>
      <c r="V45" s="16">
        <v>0</v>
      </c>
      <c r="W45" s="16">
        <v>6</v>
      </c>
      <c r="X45" s="16">
        <v>0</v>
      </c>
      <c r="Y45" s="16">
        <v>6</v>
      </c>
      <c r="Z45" s="16">
        <v>1</v>
      </c>
      <c r="AA45" s="16">
        <v>0</v>
      </c>
      <c r="AB45" s="16">
        <v>0</v>
      </c>
      <c r="AC45" s="16">
        <v>0</v>
      </c>
      <c r="AD45" s="16">
        <v>4</v>
      </c>
      <c r="AE45" s="16">
        <v>0</v>
      </c>
      <c r="AF45" s="16">
        <v>0</v>
      </c>
      <c r="AG45" s="16">
        <v>0</v>
      </c>
      <c r="AH45" s="17">
        <f t="shared" si="6"/>
        <v>0</v>
      </c>
    </row>
    <row r="46" ht="32.25" customHeight="1" spans="1:34" x14ac:dyDescent="0.25">
      <c r="A46" s="26"/>
      <c r="B46" s="27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9"/>
    </row>
    <row r="47" ht="32.25" customHeight="1" spans="1:34" x14ac:dyDescent="0.25">
      <c r="A47" s="25" t="s">
        <v>22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10"/>
    </row>
    <row r="48" ht="32.25" customHeight="1" spans="1:34" x14ac:dyDescent="0.25">
      <c r="A48" s="11" t="s">
        <v>3</v>
      </c>
      <c r="B48" s="10"/>
      <c r="C48" s="12">
        <v>1</v>
      </c>
      <c r="D48" s="12">
        <v>2</v>
      </c>
      <c r="E48" s="12">
        <v>3</v>
      </c>
      <c r="F48" s="12">
        <v>4</v>
      </c>
      <c r="G48" s="12">
        <v>5</v>
      </c>
      <c r="H48" s="12">
        <v>6</v>
      </c>
      <c r="I48" s="12">
        <v>7</v>
      </c>
      <c r="J48" s="12">
        <v>8</v>
      </c>
      <c r="K48" s="12">
        <v>9</v>
      </c>
      <c r="L48" s="12">
        <v>10</v>
      </c>
      <c r="M48" s="12">
        <v>11</v>
      </c>
      <c r="N48" s="12">
        <v>12</v>
      </c>
      <c r="O48" s="12">
        <v>13</v>
      </c>
      <c r="P48" s="12">
        <v>14</v>
      </c>
      <c r="Q48" s="12">
        <v>15</v>
      </c>
      <c r="R48" s="12">
        <v>16</v>
      </c>
      <c r="S48" s="12">
        <v>17</v>
      </c>
      <c r="T48" s="12">
        <v>18</v>
      </c>
      <c r="U48" s="12">
        <v>19</v>
      </c>
      <c r="V48" s="12">
        <v>20</v>
      </c>
      <c r="W48" s="12">
        <v>21</v>
      </c>
      <c r="X48" s="12">
        <v>22</v>
      </c>
      <c r="Y48" s="12">
        <v>23</v>
      </c>
      <c r="Z48" s="12">
        <v>24</v>
      </c>
      <c r="AA48" s="12">
        <v>25</v>
      </c>
      <c r="AB48" s="12">
        <v>26</v>
      </c>
      <c r="AC48" s="12">
        <v>27</v>
      </c>
      <c r="AD48" s="12">
        <v>28</v>
      </c>
      <c r="AE48" s="12">
        <v>29</v>
      </c>
      <c r="AF48" s="12">
        <v>30</v>
      </c>
      <c r="AG48" s="12">
        <v>31</v>
      </c>
      <c r="AH48" s="13" t="s">
        <v>4</v>
      </c>
    </row>
    <row r="49" ht="32.25" customHeight="1" spans="1:34" x14ac:dyDescent="0.25">
      <c r="A49" s="21" t="s">
        <v>21</v>
      </c>
      <c r="B49" s="15" t="s">
        <v>13</v>
      </c>
      <c r="C49" s="16">
        <v>0</v>
      </c>
      <c r="D49" s="16">
        <v>5</v>
      </c>
      <c r="E49" s="16">
        <v>0</v>
      </c>
      <c r="F49" s="16">
        <v>2</v>
      </c>
      <c r="G49" s="16">
        <v>1</v>
      </c>
      <c r="H49" s="16">
        <v>1</v>
      </c>
      <c r="I49" s="16">
        <v>0</v>
      </c>
      <c r="J49" s="16">
        <v>0</v>
      </c>
      <c r="K49" s="16">
        <v>2</v>
      </c>
      <c r="L49" s="16">
        <v>7</v>
      </c>
      <c r="M49" s="16">
        <v>1</v>
      </c>
      <c r="N49" s="16">
        <v>2</v>
      </c>
      <c r="O49" s="16">
        <v>2</v>
      </c>
      <c r="P49" s="16">
        <v>0</v>
      </c>
      <c r="Q49" s="16">
        <v>0</v>
      </c>
      <c r="R49" s="16">
        <v>4</v>
      </c>
      <c r="S49" s="16">
        <v>0</v>
      </c>
      <c r="T49" s="16">
        <v>1</v>
      </c>
      <c r="U49" s="16">
        <v>1</v>
      </c>
      <c r="V49" s="16">
        <v>0</v>
      </c>
      <c r="W49" s="16">
        <v>0</v>
      </c>
      <c r="X49" s="16">
        <v>0</v>
      </c>
      <c r="Y49" s="16">
        <v>16</v>
      </c>
      <c r="Z49" s="16">
        <v>4</v>
      </c>
      <c r="AA49" s="16">
        <v>0</v>
      </c>
      <c r="AB49" s="16">
        <v>3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7">
        <f t="shared" ref="AH49:AH50" si="7">SUM(C49:AG49)</f>
        <v>0</v>
      </c>
    </row>
    <row r="50" ht="32.25" customHeight="1" spans="1:34" x14ac:dyDescent="0.25">
      <c r="A50" s="18"/>
      <c r="B50" s="15" t="s">
        <v>7</v>
      </c>
      <c r="C50" s="16">
        <v>0</v>
      </c>
      <c r="D50" s="16">
        <v>1</v>
      </c>
      <c r="E50" s="16">
        <v>0</v>
      </c>
      <c r="F50" s="16">
        <v>0</v>
      </c>
      <c r="G50" s="16">
        <v>2</v>
      </c>
      <c r="H50" s="16">
        <v>0</v>
      </c>
      <c r="I50" s="16">
        <v>0</v>
      </c>
      <c r="J50" s="16">
        <v>0</v>
      </c>
      <c r="K50" s="16">
        <v>0</v>
      </c>
      <c r="L50" s="16">
        <v>6</v>
      </c>
      <c r="M50" s="16">
        <v>0</v>
      </c>
      <c r="N50" s="16">
        <v>2</v>
      </c>
      <c r="O50" s="16">
        <v>1</v>
      </c>
      <c r="P50" s="16">
        <v>0</v>
      </c>
      <c r="Q50" s="16">
        <v>0</v>
      </c>
      <c r="R50" s="16">
        <v>3</v>
      </c>
      <c r="S50" s="16">
        <v>0</v>
      </c>
      <c r="T50" s="16">
        <v>1</v>
      </c>
      <c r="U50" s="16">
        <v>2</v>
      </c>
      <c r="V50" s="16">
        <v>0</v>
      </c>
      <c r="W50" s="16">
        <v>0</v>
      </c>
      <c r="X50" s="16">
        <v>0</v>
      </c>
      <c r="Y50" s="16">
        <v>5</v>
      </c>
      <c r="Z50" s="16">
        <v>1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7">
        <f t="shared" si="7"/>
        <v>0</v>
      </c>
    </row>
    <row r="51" ht="32.25" customHeight="1" spans="1:34" x14ac:dyDescent="0.25">
      <c r="A51" s="26"/>
      <c r="B51" s="27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9"/>
    </row>
    <row r="52" ht="32.25" customHeight="1" spans="1:34" x14ac:dyDescent="0.25">
      <c r="A52" s="25" t="s">
        <v>23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10"/>
    </row>
    <row r="53" ht="32.25" customHeight="1" spans="1:34" x14ac:dyDescent="0.25">
      <c r="A53" s="11" t="s">
        <v>3</v>
      </c>
      <c r="B53" s="10"/>
      <c r="C53" s="12">
        <v>1</v>
      </c>
      <c r="D53" s="12">
        <v>2</v>
      </c>
      <c r="E53" s="12">
        <v>3</v>
      </c>
      <c r="F53" s="12">
        <v>4</v>
      </c>
      <c r="G53" s="12">
        <v>5</v>
      </c>
      <c r="H53" s="12">
        <v>6</v>
      </c>
      <c r="I53" s="12">
        <v>7</v>
      </c>
      <c r="J53" s="12">
        <v>8</v>
      </c>
      <c r="K53" s="12">
        <v>9</v>
      </c>
      <c r="L53" s="12">
        <v>10</v>
      </c>
      <c r="M53" s="12">
        <v>11</v>
      </c>
      <c r="N53" s="12">
        <v>12</v>
      </c>
      <c r="O53" s="12">
        <v>13</v>
      </c>
      <c r="P53" s="12">
        <v>14</v>
      </c>
      <c r="Q53" s="12">
        <v>15</v>
      </c>
      <c r="R53" s="12">
        <v>16</v>
      </c>
      <c r="S53" s="12">
        <v>17</v>
      </c>
      <c r="T53" s="12">
        <v>18</v>
      </c>
      <c r="U53" s="12">
        <v>19</v>
      </c>
      <c r="V53" s="12">
        <v>20</v>
      </c>
      <c r="W53" s="12">
        <v>21</v>
      </c>
      <c r="X53" s="12">
        <v>22</v>
      </c>
      <c r="Y53" s="12">
        <v>23</v>
      </c>
      <c r="Z53" s="12">
        <v>24</v>
      </c>
      <c r="AA53" s="12">
        <v>25</v>
      </c>
      <c r="AB53" s="12">
        <v>26</v>
      </c>
      <c r="AC53" s="12">
        <v>27</v>
      </c>
      <c r="AD53" s="12">
        <v>28</v>
      </c>
      <c r="AE53" s="12">
        <v>29</v>
      </c>
      <c r="AF53" s="12">
        <v>30</v>
      </c>
      <c r="AG53" s="12">
        <v>31</v>
      </c>
      <c r="AH53" s="13" t="s">
        <v>4</v>
      </c>
    </row>
    <row r="54" ht="32.25" customHeight="1" spans="1:34" x14ac:dyDescent="0.25">
      <c r="A54" s="21" t="s">
        <v>21</v>
      </c>
      <c r="B54" s="15" t="s">
        <v>13</v>
      </c>
      <c r="C54" s="16">
        <v>0</v>
      </c>
      <c r="D54" s="16">
        <v>4</v>
      </c>
      <c r="E54" s="16">
        <v>1</v>
      </c>
      <c r="F54" s="16">
        <v>8</v>
      </c>
      <c r="G54" s="16">
        <v>3</v>
      </c>
      <c r="H54" s="16">
        <v>3</v>
      </c>
      <c r="I54" s="16">
        <v>0</v>
      </c>
      <c r="J54" s="16">
        <v>0</v>
      </c>
      <c r="K54" s="16">
        <v>0</v>
      </c>
      <c r="L54" s="16">
        <v>6</v>
      </c>
      <c r="M54" s="16">
        <v>0</v>
      </c>
      <c r="N54" s="16">
        <v>1</v>
      </c>
      <c r="O54" s="16">
        <v>0</v>
      </c>
      <c r="P54" s="16">
        <v>0</v>
      </c>
      <c r="Q54" s="16">
        <v>0</v>
      </c>
      <c r="R54" s="16">
        <v>1</v>
      </c>
      <c r="S54" s="16">
        <v>0</v>
      </c>
      <c r="T54" s="16">
        <v>3</v>
      </c>
      <c r="U54" s="16">
        <v>2</v>
      </c>
      <c r="V54" s="16">
        <v>0</v>
      </c>
      <c r="W54" s="16">
        <v>0</v>
      </c>
      <c r="X54" s="16">
        <v>0</v>
      </c>
      <c r="Y54" s="16">
        <v>17</v>
      </c>
      <c r="Z54" s="16">
        <v>4</v>
      </c>
      <c r="AA54" s="16">
        <v>1</v>
      </c>
      <c r="AB54" s="16">
        <v>2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7">
        <f t="shared" ref="AH54:AH55" si="8">SUM(C54:AG54)</f>
        <v>0</v>
      </c>
    </row>
    <row r="55" ht="32.25" customHeight="1" spans="1:34" x14ac:dyDescent="0.25">
      <c r="A55" s="18"/>
      <c r="B55" s="15" t="s">
        <v>7</v>
      </c>
      <c r="C55" s="16">
        <v>0</v>
      </c>
      <c r="D55" s="16">
        <v>0</v>
      </c>
      <c r="E55" s="16">
        <v>7</v>
      </c>
      <c r="F55" s="16">
        <v>9</v>
      </c>
      <c r="G55" s="16">
        <v>2</v>
      </c>
      <c r="H55" s="16">
        <v>0</v>
      </c>
      <c r="I55" s="16">
        <v>0</v>
      </c>
      <c r="J55" s="16">
        <v>0</v>
      </c>
      <c r="K55" s="16">
        <v>0</v>
      </c>
      <c r="L55" s="16">
        <v>6</v>
      </c>
      <c r="M55" s="16">
        <v>1</v>
      </c>
      <c r="N55" s="16">
        <v>2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2</v>
      </c>
      <c r="V55" s="16">
        <v>0</v>
      </c>
      <c r="W55" s="16">
        <v>0</v>
      </c>
      <c r="X55" s="16">
        <v>0</v>
      </c>
      <c r="Y55" s="16">
        <v>5</v>
      </c>
      <c r="Z55" s="16">
        <v>0</v>
      </c>
      <c r="AA55" s="16">
        <v>1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7">
        <f t="shared" si="8"/>
        <v>0</v>
      </c>
    </row>
    <row r="56" ht="32.25" customHeight="1" spans="1:34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 ht="32.25" customHeight="1" spans="1:34" x14ac:dyDescent="0.25">
      <c r="A57" s="30" t="s">
        <v>24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10"/>
    </row>
    <row r="58" ht="32.25" customHeight="1" spans="1:34" x14ac:dyDescent="0.25">
      <c r="A58" s="11" t="s">
        <v>3</v>
      </c>
      <c r="B58" s="10"/>
      <c r="C58" s="12">
        <v>1</v>
      </c>
      <c r="D58" s="12">
        <v>2</v>
      </c>
      <c r="E58" s="12">
        <v>3</v>
      </c>
      <c r="F58" s="12">
        <v>4</v>
      </c>
      <c r="G58" s="12">
        <v>5</v>
      </c>
      <c r="H58" s="12">
        <v>6</v>
      </c>
      <c r="I58" s="12">
        <v>7</v>
      </c>
      <c r="J58" s="12">
        <v>8</v>
      </c>
      <c r="K58" s="12">
        <v>9</v>
      </c>
      <c r="L58" s="12">
        <v>10</v>
      </c>
      <c r="M58" s="12">
        <v>11</v>
      </c>
      <c r="N58" s="12">
        <v>12</v>
      </c>
      <c r="O58" s="12">
        <v>13</v>
      </c>
      <c r="P58" s="12">
        <v>14</v>
      </c>
      <c r="Q58" s="12">
        <v>15</v>
      </c>
      <c r="R58" s="12">
        <v>16</v>
      </c>
      <c r="S58" s="12">
        <v>17</v>
      </c>
      <c r="T58" s="12">
        <v>18</v>
      </c>
      <c r="U58" s="12">
        <v>19</v>
      </c>
      <c r="V58" s="12">
        <v>20</v>
      </c>
      <c r="W58" s="12">
        <v>21</v>
      </c>
      <c r="X58" s="12">
        <v>22</v>
      </c>
      <c r="Y58" s="12">
        <v>23</v>
      </c>
      <c r="Z58" s="12">
        <v>24</v>
      </c>
      <c r="AA58" s="12">
        <v>25</v>
      </c>
      <c r="AB58" s="12">
        <v>26</v>
      </c>
      <c r="AC58" s="12">
        <v>27</v>
      </c>
      <c r="AD58" s="12">
        <v>28</v>
      </c>
      <c r="AE58" s="12">
        <v>29</v>
      </c>
      <c r="AF58" s="12">
        <v>30</v>
      </c>
      <c r="AG58" s="12">
        <v>31</v>
      </c>
      <c r="AH58" s="13" t="s">
        <v>4</v>
      </c>
    </row>
    <row r="59" ht="32.25" customHeight="1" spans="1:34" x14ac:dyDescent="0.25">
      <c r="A59" s="31" t="s">
        <v>25</v>
      </c>
      <c r="B59" s="15" t="s">
        <v>13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7">
        <f t="shared" ref="AH59:AH60" si="9">SUM(C59:AG59)</f>
        <v>0</v>
      </c>
    </row>
    <row r="60" ht="32.25" customHeight="1" spans="1:34" x14ac:dyDescent="0.25">
      <c r="A60" s="18"/>
      <c r="B60" s="15" t="s">
        <v>7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7">
        <f t="shared" si="9"/>
        <v>0</v>
      </c>
    </row>
    <row r="61" ht="32.25" customHeight="1" spans="1:34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</row>
    <row r="62" ht="32.25" customHeight="1" spans="1:34" x14ac:dyDescent="0.25">
      <c r="A62" s="30" t="s">
        <v>26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10"/>
    </row>
    <row r="63" ht="32.25" customHeight="1" spans="1:34" x14ac:dyDescent="0.25">
      <c r="A63" s="11" t="s">
        <v>3</v>
      </c>
      <c r="B63" s="10"/>
      <c r="C63" s="12">
        <v>1</v>
      </c>
      <c r="D63" s="12">
        <v>2</v>
      </c>
      <c r="E63" s="12">
        <v>3</v>
      </c>
      <c r="F63" s="12">
        <v>4</v>
      </c>
      <c r="G63" s="12">
        <v>5</v>
      </c>
      <c r="H63" s="12">
        <v>6</v>
      </c>
      <c r="I63" s="12">
        <v>7</v>
      </c>
      <c r="J63" s="12">
        <v>8</v>
      </c>
      <c r="K63" s="12">
        <v>9</v>
      </c>
      <c r="L63" s="12">
        <v>10</v>
      </c>
      <c r="M63" s="12">
        <v>11</v>
      </c>
      <c r="N63" s="12">
        <v>12</v>
      </c>
      <c r="O63" s="12">
        <v>13</v>
      </c>
      <c r="P63" s="12">
        <v>14</v>
      </c>
      <c r="Q63" s="12">
        <v>15</v>
      </c>
      <c r="R63" s="12">
        <v>16</v>
      </c>
      <c r="S63" s="12">
        <v>17</v>
      </c>
      <c r="T63" s="12">
        <v>18</v>
      </c>
      <c r="U63" s="12">
        <v>19</v>
      </c>
      <c r="V63" s="12">
        <v>20</v>
      </c>
      <c r="W63" s="12">
        <v>21</v>
      </c>
      <c r="X63" s="12">
        <v>22</v>
      </c>
      <c r="Y63" s="12">
        <v>23</v>
      </c>
      <c r="Z63" s="12">
        <v>24</v>
      </c>
      <c r="AA63" s="12">
        <v>25</v>
      </c>
      <c r="AB63" s="12">
        <v>26</v>
      </c>
      <c r="AC63" s="12">
        <v>27</v>
      </c>
      <c r="AD63" s="12">
        <v>28</v>
      </c>
      <c r="AE63" s="12">
        <v>29</v>
      </c>
      <c r="AF63" s="12">
        <v>30</v>
      </c>
      <c r="AG63" s="12">
        <v>31</v>
      </c>
      <c r="AH63" s="13" t="s">
        <v>4</v>
      </c>
    </row>
    <row r="64" ht="32.25" customHeight="1" spans="1:34" x14ac:dyDescent="0.25">
      <c r="A64" s="31" t="s">
        <v>25</v>
      </c>
      <c r="B64" s="15" t="s">
        <v>13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7">
        <f t="shared" ref="AH64:AH65" si="10">SUM(C64:AG64)</f>
        <v>0</v>
      </c>
    </row>
    <row r="65" ht="32.25" customHeight="1" spans="1:34" x14ac:dyDescent="0.25">
      <c r="A65" s="18"/>
      <c r="B65" s="15" t="s">
        <v>7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7">
        <f t="shared" si="10"/>
        <v>0</v>
      </c>
    </row>
    <row r="66" ht="32.25" customHeight="1" spans="1:34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</row>
    <row r="67" ht="32.25" customHeight="1" spans="1:34" x14ac:dyDescent="0.25">
      <c r="A67" s="30" t="s">
        <v>27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10"/>
    </row>
    <row r="68" ht="32.25" customHeight="1" spans="1:34" x14ac:dyDescent="0.25">
      <c r="A68" s="11" t="s">
        <v>3</v>
      </c>
      <c r="B68" s="10"/>
      <c r="C68" s="12">
        <v>1</v>
      </c>
      <c r="D68" s="12">
        <v>2</v>
      </c>
      <c r="E68" s="12">
        <v>3</v>
      </c>
      <c r="F68" s="12">
        <v>4</v>
      </c>
      <c r="G68" s="12">
        <v>5</v>
      </c>
      <c r="H68" s="12">
        <v>6</v>
      </c>
      <c r="I68" s="12">
        <v>7</v>
      </c>
      <c r="J68" s="12">
        <v>8</v>
      </c>
      <c r="K68" s="12">
        <v>9</v>
      </c>
      <c r="L68" s="12">
        <v>10</v>
      </c>
      <c r="M68" s="12">
        <v>11</v>
      </c>
      <c r="N68" s="12">
        <v>12</v>
      </c>
      <c r="O68" s="12">
        <v>13</v>
      </c>
      <c r="P68" s="12">
        <v>14</v>
      </c>
      <c r="Q68" s="12">
        <v>15</v>
      </c>
      <c r="R68" s="12">
        <v>16</v>
      </c>
      <c r="S68" s="12">
        <v>17</v>
      </c>
      <c r="T68" s="12">
        <v>18</v>
      </c>
      <c r="U68" s="12">
        <v>19</v>
      </c>
      <c r="V68" s="12">
        <v>20</v>
      </c>
      <c r="W68" s="12">
        <v>21</v>
      </c>
      <c r="X68" s="12">
        <v>22</v>
      </c>
      <c r="Y68" s="12">
        <v>23</v>
      </c>
      <c r="Z68" s="12">
        <v>24</v>
      </c>
      <c r="AA68" s="12">
        <v>25</v>
      </c>
      <c r="AB68" s="12">
        <v>26</v>
      </c>
      <c r="AC68" s="12">
        <v>27</v>
      </c>
      <c r="AD68" s="12">
        <v>28</v>
      </c>
      <c r="AE68" s="12">
        <v>29</v>
      </c>
      <c r="AF68" s="12">
        <v>30</v>
      </c>
      <c r="AG68" s="12">
        <v>31</v>
      </c>
      <c r="AH68" s="13" t="s">
        <v>4</v>
      </c>
    </row>
    <row r="69" ht="32.25" customHeight="1" spans="1:34" x14ac:dyDescent="0.25">
      <c r="A69" s="31" t="s">
        <v>25</v>
      </c>
      <c r="B69" s="15" t="s">
        <v>13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7">
        <f t="shared" ref="AH69:AH70" si="11">SUM(C69:AG69)</f>
        <v>0</v>
      </c>
    </row>
    <row r="70" ht="32.25" customHeight="1" spans="1:34" x14ac:dyDescent="0.25">
      <c r="A70" s="18"/>
      <c r="B70" s="15" t="s">
        <v>7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7">
        <f t="shared" si="11"/>
        <v>0</v>
      </c>
    </row>
    <row r="71" ht="32.25" customHeight="1" spans="1:34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</row>
    <row r="72" ht="32.25" customHeight="1" spans="1:34" x14ac:dyDescent="0.25">
      <c r="A72" s="30" t="s">
        <v>28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10"/>
    </row>
    <row r="73" ht="32.25" customHeight="1" spans="1:34" x14ac:dyDescent="0.25">
      <c r="A73" s="11" t="s">
        <v>3</v>
      </c>
      <c r="B73" s="10"/>
      <c r="C73" s="12">
        <v>1</v>
      </c>
      <c r="D73" s="12">
        <v>2</v>
      </c>
      <c r="E73" s="12">
        <v>3</v>
      </c>
      <c r="F73" s="12">
        <v>4</v>
      </c>
      <c r="G73" s="12">
        <v>5</v>
      </c>
      <c r="H73" s="12">
        <v>6</v>
      </c>
      <c r="I73" s="12">
        <v>7</v>
      </c>
      <c r="J73" s="12">
        <v>8</v>
      </c>
      <c r="K73" s="12">
        <v>9</v>
      </c>
      <c r="L73" s="12">
        <v>10</v>
      </c>
      <c r="M73" s="12">
        <v>11</v>
      </c>
      <c r="N73" s="12">
        <v>12</v>
      </c>
      <c r="O73" s="12">
        <v>13</v>
      </c>
      <c r="P73" s="12">
        <v>14</v>
      </c>
      <c r="Q73" s="12">
        <v>15</v>
      </c>
      <c r="R73" s="12">
        <v>16</v>
      </c>
      <c r="S73" s="12">
        <v>17</v>
      </c>
      <c r="T73" s="12">
        <v>18</v>
      </c>
      <c r="U73" s="12">
        <v>19</v>
      </c>
      <c r="V73" s="12">
        <v>20</v>
      </c>
      <c r="W73" s="12">
        <v>21</v>
      </c>
      <c r="X73" s="12">
        <v>22</v>
      </c>
      <c r="Y73" s="12">
        <v>23</v>
      </c>
      <c r="Z73" s="12">
        <v>24</v>
      </c>
      <c r="AA73" s="12">
        <v>25</v>
      </c>
      <c r="AB73" s="12">
        <v>26</v>
      </c>
      <c r="AC73" s="12">
        <v>27</v>
      </c>
      <c r="AD73" s="12">
        <v>28</v>
      </c>
      <c r="AE73" s="12">
        <v>29</v>
      </c>
      <c r="AF73" s="12">
        <v>30</v>
      </c>
      <c r="AG73" s="12">
        <v>31</v>
      </c>
      <c r="AH73" s="13" t="s">
        <v>4</v>
      </c>
    </row>
    <row r="74" ht="32.25" customHeight="1" spans="1:34" x14ac:dyDescent="0.25">
      <c r="A74" s="31" t="s">
        <v>24</v>
      </c>
      <c r="B74" s="15" t="s">
        <v>13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7">
        <f t="shared" ref="AH74:AH75" si="12">SUM(C74:AG74)</f>
        <v>0</v>
      </c>
    </row>
    <row r="75" ht="32.25" customHeight="1" spans="1:34" x14ac:dyDescent="0.25">
      <c r="A75" s="32" t="s">
        <v>29</v>
      </c>
      <c r="B75" s="15" t="s">
        <v>7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7">
        <f t="shared" si="12"/>
        <v>0</v>
      </c>
    </row>
    <row r="76" ht="32.25" customHeight="1" spans="1:34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ht="32.25" customHeight="1" spans="1:34" x14ac:dyDescent="0.25">
      <c r="A77" s="30" t="s">
        <v>30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10"/>
    </row>
    <row r="78" ht="32.25" customHeight="1" spans="1:34" x14ac:dyDescent="0.25">
      <c r="A78" s="11" t="s">
        <v>3</v>
      </c>
      <c r="B78" s="10"/>
      <c r="C78" s="12">
        <v>1</v>
      </c>
      <c r="D78" s="12">
        <v>2</v>
      </c>
      <c r="E78" s="12">
        <v>3</v>
      </c>
      <c r="F78" s="12">
        <v>4</v>
      </c>
      <c r="G78" s="12">
        <v>5</v>
      </c>
      <c r="H78" s="12">
        <v>6</v>
      </c>
      <c r="I78" s="12">
        <v>7</v>
      </c>
      <c r="J78" s="12">
        <v>8</v>
      </c>
      <c r="K78" s="12">
        <v>9</v>
      </c>
      <c r="L78" s="12">
        <v>10</v>
      </c>
      <c r="M78" s="12">
        <v>11</v>
      </c>
      <c r="N78" s="12">
        <v>12</v>
      </c>
      <c r="O78" s="12">
        <v>13</v>
      </c>
      <c r="P78" s="12">
        <v>14</v>
      </c>
      <c r="Q78" s="12">
        <v>15</v>
      </c>
      <c r="R78" s="12">
        <v>16</v>
      </c>
      <c r="S78" s="12">
        <v>17</v>
      </c>
      <c r="T78" s="12">
        <v>18</v>
      </c>
      <c r="U78" s="12">
        <v>19</v>
      </c>
      <c r="V78" s="12">
        <v>20</v>
      </c>
      <c r="W78" s="12">
        <v>21</v>
      </c>
      <c r="X78" s="12">
        <v>22</v>
      </c>
      <c r="Y78" s="12">
        <v>23</v>
      </c>
      <c r="Z78" s="12">
        <v>24</v>
      </c>
      <c r="AA78" s="12">
        <v>25</v>
      </c>
      <c r="AB78" s="12">
        <v>26</v>
      </c>
      <c r="AC78" s="12">
        <v>27</v>
      </c>
      <c r="AD78" s="12">
        <v>28</v>
      </c>
      <c r="AE78" s="12">
        <v>29</v>
      </c>
      <c r="AF78" s="12">
        <v>30</v>
      </c>
      <c r="AG78" s="12">
        <v>31</v>
      </c>
      <c r="AH78" s="13" t="s">
        <v>4</v>
      </c>
    </row>
    <row r="79" ht="32.25" customHeight="1" spans="1:34" x14ac:dyDescent="0.25">
      <c r="A79" s="31" t="s">
        <v>25</v>
      </c>
      <c r="B79" s="15" t="s">
        <v>13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7">
        <f t="shared" ref="AH79:AH80" si="13">SUM(C79:AG79)</f>
        <v>0</v>
      </c>
    </row>
    <row r="80" ht="32.25" customHeight="1" spans="1:34" x14ac:dyDescent="0.25">
      <c r="A80" s="18"/>
      <c r="B80" s="15" t="s">
        <v>7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7">
        <f t="shared" si="13"/>
        <v>0</v>
      </c>
    </row>
    <row r="81" ht="32.25" customHeight="1" spans="1:34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</row>
    <row r="82" ht="32.25" customHeight="1" spans="1:34" x14ac:dyDescent="0.25">
      <c r="A82" s="33" t="s">
        <v>31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10"/>
    </row>
    <row r="83" ht="32.25" customHeight="1" spans="1:34" x14ac:dyDescent="0.25">
      <c r="A83" s="11" t="s">
        <v>3</v>
      </c>
      <c r="B83" s="10"/>
      <c r="C83" s="12">
        <v>1</v>
      </c>
      <c r="D83" s="12">
        <v>2</v>
      </c>
      <c r="E83" s="12">
        <v>3</v>
      </c>
      <c r="F83" s="12">
        <v>4</v>
      </c>
      <c r="G83" s="12">
        <v>5</v>
      </c>
      <c r="H83" s="12">
        <v>6</v>
      </c>
      <c r="I83" s="12">
        <v>7</v>
      </c>
      <c r="J83" s="12">
        <v>8</v>
      </c>
      <c r="K83" s="12">
        <v>9</v>
      </c>
      <c r="L83" s="12">
        <v>10</v>
      </c>
      <c r="M83" s="12">
        <v>11</v>
      </c>
      <c r="N83" s="12">
        <v>12</v>
      </c>
      <c r="O83" s="12">
        <v>13</v>
      </c>
      <c r="P83" s="12">
        <v>14</v>
      </c>
      <c r="Q83" s="12">
        <v>15</v>
      </c>
      <c r="R83" s="12">
        <v>16</v>
      </c>
      <c r="S83" s="12">
        <v>17</v>
      </c>
      <c r="T83" s="12">
        <v>18</v>
      </c>
      <c r="U83" s="12">
        <v>19</v>
      </c>
      <c r="V83" s="12">
        <v>20</v>
      </c>
      <c r="W83" s="12">
        <v>21</v>
      </c>
      <c r="X83" s="12">
        <v>22</v>
      </c>
      <c r="Y83" s="12">
        <v>23</v>
      </c>
      <c r="Z83" s="12">
        <v>24</v>
      </c>
      <c r="AA83" s="12">
        <v>25</v>
      </c>
      <c r="AB83" s="12">
        <v>26</v>
      </c>
      <c r="AC83" s="12">
        <v>27</v>
      </c>
      <c r="AD83" s="12">
        <v>28</v>
      </c>
      <c r="AE83" s="12">
        <v>29</v>
      </c>
      <c r="AF83" s="12">
        <v>30</v>
      </c>
      <c r="AG83" s="12">
        <v>31</v>
      </c>
      <c r="AH83" s="13" t="s">
        <v>4</v>
      </c>
    </row>
    <row r="84" ht="32.25" customHeight="1" spans="1:34" x14ac:dyDescent="0.25">
      <c r="A84" s="20" t="s">
        <v>32</v>
      </c>
      <c r="B84" s="15" t="s">
        <v>13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4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1</v>
      </c>
      <c r="X84" s="16">
        <v>0</v>
      </c>
      <c r="Y84" s="16">
        <v>0</v>
      </c>
      <c r="Z84" s="16">
        <v>4</v>
      </c>
      <c r="AA84" s="16">
        <v>1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7">
        <f t="shared" ref="AH84:AH85" si="14">SUM(C84:AG84)</f>
        <v>0</v>
      </c>
    </row>
    <row r="85" ht="32.25" customHeight="1" spans="1:34" x14ac:dyDescent="0.25">
      <c r="A85" s="18"/>
      <c r="B85" s="15" t="s">
        <v>7</v>
      </c>
      <c r="C85" s="16">
        <v>0</v>
      </c>
      <c r="D85" s="16">
        <v>0</v>
      </c>
      <c r="E85" s="16">
        <v>0</v>
      </c>
      <c r="F85" s="16">
        <v>0</v>
      </c>
      <c r="G85" s="16">
        <v>1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1</v>
      </c>
      <c r="U85" s="16">
        <v>0</v>
      </c>
      <c r="V85" s="16">
        <v>0</v>
      </c>
      <c r="W85" s="16">
        <v>3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7">
        <f t="shared" si="14"/>
        <v>0</v>
      </c>
    </row>
    <row r="86" ht="32.25" customHeight="1" spans="1:34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</row>
    <row r="87" ht="32.25" customHeight="1" spans="1:34" x14ac:dyDescent="0.25">
      <c r="A87" s="33" t="s">
        <v>33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10"/>
    </row>
    <row r="88" ht="32.25" customHeight="1" spans="1:34" x14ac:dyDescent="0.25">
      <c r="A88" s="11" t="s">
        <v>3</v>
      </c>
      <c r="B88" s="10"/>
      <c r="C88" s="12">
        <v>1</v>
      </c>
      <c r="D88" s="12">
        <v>2</v>
      </c>
      <c r="E88" s="12">
        <v>3</v>
      </c>
      <c r="F88" s="12">
        <v>4</v>
      </c>
      <c r="G88" s="12">
        <v>5</v>
      </c>
      <c r="H88" s="12">
        <v>6</v>
      </c>
      <c r="I88" s="12">
        <v>7</v>
      </c>
      <c r="J88" s="12">
        <v>8</v>
      </c>
      <c r="K88" s="12">
        <v>9</v>
      </c>
      <c r="L88" s="12">
        <v>10</v>
      </c>
      <c r="M88" s="12">
        <v>11</v>
      </c>
      <c r="N88" s="12">
        <v>12</v>
      </c>
      <c r="O88" s="12">
        <v>13</v>
      </c>
      <c r="P88" s="12">
        <v>14</v>
      </c>
      <c r="Q88" s="12">
        <v>15</v>
      </c>
      <c r="R88" s="12">
        <v>16</v>
      </c>
      <c r="S88" s="12">
        <v>17</v>
      </c>
      <c r="T88" s="12">
        <v>18</v>
      </c>
      <c r="U88" s="12">
        <v>19</v>
      </c>
      <c r="V88" s="12">
        <v>20</v>
      </c>
      <c r="W88" s="12">
        <v>21</v>
      </c>
      <c r="X88" s="12">
        <v>22</v>
      </c>
      <c r="Y88" s="12">
        <v>23</v>
      </c>
      <c r="Z88" s="12">
        <v>24</v>
      </c>
      <c r="AA88" s="12">
        <v>25</v>
      </c>
      <c r="AB88" s="12">
        <v>26</v>
      </c>
      <c r="AC88" s="12">
        <v>27</v>
      </c>
      <c r="AD88" s="12">
        <v>28</v>
      </c>
      <c r="AE88" s="12">
        <v>29</v>
      </c>
      <c r="AF88" s="12">
        <v>30</v>
      </c>
      <c r="AG88" s="12">
        <v>31</v>
      </c>
      <c r="AH88" s="13" t="s">
        <v>4</v>
      </c>
    </row>
    <row r="89" ht="32.25" customHeight="1" spans="1:34" x14ac:dyDescent="0.25">
      <c r="A89" s="20" t="s">
        <v>32</v>
      </c>
      <c r="B89" s="15" t="s">
        <v>13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1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1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1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7">
        <f t="shared" ref="AH89:AH90" si="15">SUM(C89:AG89)</f>
        <v>0</v>
      </c>
    </row>
    <row r="90" ht="32.25" customHeight="1" spans="1:34" x14ac:dyDescent="0.25">
      <c r="A90" s="18"/>
      <c r="B90" s="15" t="s">
        <v>7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2</v>
      </c>
      <c r="L90" s="16">
        <v>0</v>
      </c>
      <c r="M90" s="16">
        <v>0</v>
      </c>
      <c r="N90" s="16">
        <v>3</v>
      </c>
      <c r="O90" s="16">
        <v>0</v>
      </c>
      <c r="P90" s="16">
        <v>0</v>
      </c>
      <c r="Q90" s="16">
        <v>0</v>
      </c>
      <c r="R90" s="16">
        <v>4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1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7">
        <f t="shared" si="15"/>
        <v>0</v>
      </c>
    </row>
    <row r="91" ht="32.25" customHeight="1" spans="1:34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ht="32.25" customHeight="1" spans="1:34" x14ac:dyDescent="0.25">
      <c r="A92" s="33" t="s">
        <v>34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10"/>
    </row>
    <row r="93" ht="32.25" customHeight="1" spans="1:34" x14ac:dyDescent="0.25">
      <c r="A93" s="11" t="s">
        <v>3</v>
      </c>
      <c r="B93" s="10"/>
      <c r="C93" s="12">
        <v>1</v>
      </c>
      <c r="D93" s="12">
        <v>2</v>
      </c>
      <c r="E93" s="12">
        <v>3</v>
      </c>
      <c r="F93" s="12">
        <v>4</v>
      </c>
      <c r="G93" s="12">
        <v>5</v>
      </c>
      <c r="H93" s="12">
        <v>6</v>
      </c>
      <c r="I93" s="12">
        <v>7</v>
      </c>
      <c r="J93" s="12">
        <v>8</v>
      </c>
      <c r="K93" s="12">
        <v>9</v>
      </c>
      <c r="L93" s="12">
        <v>10</v>
      </c>
      <c r="M93" s="12">
        <v>11</v>
      </c>
      <c r="N93" s="12">
        <v>12</v>
      </c>
      <c r="O93" s="12">
        <v>13</v>
      </c>
      <c r="P93" s="12">
        <v>14</v>
      </c>
      <c r="Q93" s="12">
        <v>15</v>
      </c>
      <c r="R93" s="12">
        <v>16</v>
      </c>
      <c r="S93" s="12">
        <v>17</v>
      </c>
      <c r="T93" s="12">
        <v>18</v>
      </c>
      <c r="U93" s="12">
        <v>19</v>
      </c>
      <c r="V93" s="12">
        <v>20</v>
      </c>
      <c r="W93" s="12">
        <v>21</v>
      </c>
      <c r="X93" s="12">
        <v>22</v>
      </c>
      <c r="Y93" s="12">
        <v>23</v>
      </c>
      <c r="Z93" s="12">
        <v>24</v>
      </c>
      <c r="AA93" s="12">
        <v>25</v>
      </c>
      <c r="AB93" s="12">
        <v>26</v>
      </c>
      <c r="AC93" s="12">
        <v>27</v>
      </c>
      <c r="AD93" s="12">
        <v>28</v>
      </c>
      <c r="AE93" s="12">
        <v>29</v>
      </c>
      <c r="AF93" s="12">
        <v>30</v>
      </c>
      <c r="AG93" s="12">
        <v>31</v>
      </c>
      <c r="AH93" s="13" t="s">
        <v>4</v>
      </c>
    </row>
    <row r="94" ht="32.25" customHeight="1" spans="1:34" x14ac:dyDescent="0.25">
      <c r="A94" s="20" t="s">
        <v>32</v>
      </c>
      <c r="B94" s="15" t="s">
        <v>13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3</v>
      </c>
      <c r="L94" s="16">
        <v>0</v>
      </c>
      <c r="M94" s="16">
        <v>0</v>
      </c>
      <c r="N94" s="16">
        <v>0</v>
      </c>
      <c r="O94" s="16">
        <v>0</v>
      </c>
      <c r="P94" s="16">
        <v>2</v>
      </c>
      <c r="Q94" s="16">
        <v>0</v>
      </c>
      <c r="R94" s="16">
        <v>1</v>
      </c>
      <c r="S94" s="16">
        <v>0</v>
      </c>
      <c r="T94" s="16">
        <v>0</v>
      </c>
      <c r="U94" s="16">
        <v>2</v>
      </c>
      <c r="V94" s="16">
        <v>0</v>
      </c>
      <c r="W94" s="16">
        <v>0</v>
      </c>
      <c r="X94" s="16">
        <v>0</v>
      </c>
      <c r="Y94" s="16">
        <v>2</v>
      </c>
      <c r="Z94" s="16">
        <v>3</v>
      </c>
      <c r="AA94" s="16">
        <v>1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7">
        <f t="shared" ref="AH94:AH95" si="16">SUM(C94:AG94)</f>
        <v>0</v>
      </c>
    </row>
    <row r="95" ht="32.25" customHeight="1" spans="1:34" x14ac:dyDescent="0.25">
      <c r="A95" s="18"/>
      <c r="B95" s="15" t="s">
        <v>7</v>
      </c>
      <c r="C95" s="16">
        <v>0</v>
      </c>
      <c r="D95" s="16">
        <v>1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8</v>
      </c>
      <c r="L95" s="16">
        <v>8</v>
      </c>
      <c r="M95" s="16">
        <v>0</v>
      </c>
      <c r="N95" s="16">
        <v>1</v>
      </c>
      <c r="O95" s="16">
        <v>0</v>
      </c>
      <c r="P95" s="16">
        <v>2</v>
      </c>
      <c r="Q95" s="16">
        <v>0</v>
      </c>
      <c r="R95" s="16">
        <v>0</v>
      </c>
      <c r="S95" s="16">
        <v>0</v>
      </c>
      <c r="T95" s="16">
        <v>0</v>
      </c>
      <c r="U95" s="16">
        <v>3</v>
      </c>
      <c r="V95" s="16">
        <v>0</v>
      </c>
      <c r="W95" s="16">
        <v>0</v>
      </c>
      <c r="X95" s="16">
        <v>0</v>
      </c>
      <c r="Y95" s="16">
        <v>0</v>
      </c>
      <c r="Z95" s="16">
        <v>2</v>
      </c>
      <c r="AA95" s="16">
        <v>3</v>
      </c>
      <c r="AB95" s="16">
        <v>0</v>
      </c>
      <c r="AC95" s="16">
        <v>1</v>
      </c>
      <c r="AD95" s="16">
        <v>0</v>
      </c>
      <c r="AE95" s="16">
        <v>0</v>
      </c>
      <c r="AF95" s="16">
        <v>0</v>
      </c>
      <c r="AG95" s="16">
        <v>0</v>
      </c>
      <c r="AH95" s="17">
        <f t="shared" si="16"/>
        <v>0</v>
      </c>
    </row>
    <row r="96" ht="32.25" customHeight="1" spans="1:34" x14ac:dyDescent="0.25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</row>
    <row r="97" ht="32.25" customHeight="1" spans="1:34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</row>
    <row r="98" ht="32.25" customHeight="1" spans="1:34" x14ac:dyDescent="0.25">
      <c r="A98" s="35" t="s">
        <v>35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10"/>
    </row>
    <row r="99" ht="32.25" customHeight="1" spans="1:34" x14ac:dyDescent="0.25">
      <c r="A99" s="11" t="s">
        <v>3</v>
      </c>
      <c r="B99" s="10"/>
      <c r="C99" s="23">
        <v>1</v>
      </c>
      <c r="D99" s="23">
        <v>2</v>
      </c>
      <c r="E99" s="23">
        <v>3</v>
      </c>
      <c r="F99" s="23">
        <v>4</v>
      </c>
      <c r="G99" s="23">
        <v>5</v>
      </c>
      <c r="H99" s="23">
        <v>6</v>
      </c>
      <c r="I99" s="23">
        <v>7</v>
      </c>
      <c r="J99" s="23">
        <v>8</v>
      </c>
      <c r="K99" s="23">
        <v>9</v>
      </c>
      <c r="L99" s="23">
        <v>10</v>
      </c>
      <c r="M99" s="23">
        <v>11</v>
      </c>
      <c r="N99" s="23">
        <v>12</v>
      </c>
      <c r="O99" s="23">
        <v>13</v>
      </c>
      <c r="P99" s="23">
        <v>14</v>
      </c>
      <c r="Q99" s="23">
        <v>15</v>
      </c>
      <c r="R99" s="23">
        <v>16</v>
      </c>
      <c r="S99" s="23">
        <v>17</v>
      </c>
      <c r="T99" s="23">
        <v>18</v>
      </c>
      <c r="U99" s="23">
        <v>19</v>
      </c>
      <c r="V99" s="23">
        <v>20</v>
      </c>
      <c r="W99" s="23">
        <v>21</v>
      </c>
      <c r="X99" s="23">
        <v>22</v>
      </c>
      <c r="Y99" s="23">
        <v>23</v>
      </c>
      <c r="Z99" s="23">
        <v>24</v>
      </c>
      <c r="AA99" s="23">
        <v>25</v>
      </c>
      <c r="AB99" s="23">
        <v>26</v>
      </c>
      <c r="AC99" s="23">
        <v>27</v>
      </c>
      <c r="AD99" s="23">
        <v>28</v>
      </c>
      <c r="AE99" s="23">
        <v>29</v>
      </c>
      <c r="AF99" s="23">
        <v>30</v>
      </c>
      <c r="AG99" s="23">
        <v>31</v>
      </c>
      <c r="AH99" s="24" t="s">
        <v>4</v>
      </c>
    </row>
    <row r="100" ht="32.25" customHeight="1" spans="1:34" x14ac:dyDescent="0.25">
      <c r="A100" s="14" t="s">
        <v>35</v>
      </c>
      <c r="B100" s="15" t="s">
        <v>13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7">
        <f t="shared" ref="AH100:AH101" si="17">SUM(C100:AG100)</f>
        <v>0</v>
      </c>
    </row>
    <row r="101" ht="32.25" customHeight="1" spans="1:34" x14ac:dyDescent="0.25">
      <c r="A101" s="18"/>
      <c r="B101" s="15" t="s">
        <v>7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7">
        <f t="shared" si="17"/>
        <v>0</v>
      </c>
    </row>
    <row r="102" ht="32.25" customHeight="1" spans="1:34" x14ac:dyDescent="0.25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</row>
    <row r="103" ht="32.25" customHeight="1" spans="1:34" x14ac:dyDescent="0.25">
      <c r="A103" s="37" t="s">
        <v>36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10"/>
    </row>
    <row r="104" ht="32.25" customHeight="1" spans="1:34" x14ac:dyDescent="0.25">
      <c r="A104" s="11" t="s">
        <v>3</v>
      </c>
      <c r="B104" s="10"/>
      <c r="C104" s="23">
        <v>1</v>
      </c>
      <c r="D104" s="23">
        <v>2</v>
      </c>
      <c r="E104" s="23">
        <v>3</v>
      </c>
      <c r="F104" s="23">
        <v>4</v>
      </c>
      <c r="G104" s="23">
        <v>5</v>
      </c>
      <c r="H104" s="23">
        <v>6</v>
      </c>
      <c r="I104" s="23">
        <v>7</v>
      </c>
      <c r="J104" s="23">
        <v>8</v>
      </c>
      <c r="K104" s="23">
        <v>9</v>
      </c>
      <c r="L104" s="23">
        <v>10</v>
      </c>
      <c r="M104" s="23">
        <v>11</v>
      </c>
      <c r="N104" s="23">
        <v>12</v>
      </c>
      <c r="O104" s="23">
        <v>13</v>
      </c>
      <c r="P104" s="23">
        <v>14</v>
      </c>
      <c r="Q104" s="23">
        <v>15</v>
      </c>
      <c r="R104" s="23">
        <v>16</v>
      </c>
      <c r="S104" s="23">
        <v>17</v>
      </c>
      <c r="T104" s="23">
        <v>18</v>
      </c>
      <c r="U104" s="23">
        <v>19</v>
      </c>
      <c r="V104" s="23">
        <v>20</v>
      </c>
      <c r="W104" s="23">
        <v>21</v>
      </c>
      <c r="X104" s="23">
        <v>22</v>
      </c>
      <c r="Y104" s="23">
        <v>23</v>
      </c>
      <c r="Z104" s="23">
        <v>24</v>
      </c>
      <c r="AA104" s="23">
        <v>25</v>
      </c>
      <c r="AB104" s="23">
        <v>26</v>
      </c>
      <c r="AC104" s="23">
        <v>27</v>
      </c>
      <c r="AD104" s="23">
        <v>28</v>
      </c>
      <c r="AE104" s="23">
        <v>29</v>
      </c>
      <c r="AF104" s="23">
        <v>30</v>
      </c>
      <c r="AG104" s="23">
        <v>31</v>
      </c>
      <c r="AH104" s="24" t="s">
        <v>4</v>
      </c>
    </row>
    <row r="105" ht="32.25" customHeight="1" spans="1:34" x14ac:dyDescent="0.25">
      <c r="A105" s="14" t="s">
        <v>36</v>
      </c>
      <c r="B105" s="15" t="s">
        <v>13</v>
      </c>
      <c r="C105" s="16">
        <v>0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7">
        <f t="shared" ref="AH105:AH106" si="18">SUM(C105:AG105)</f>
        <v>0</v>
      </c>
    </row>
    <row r="106" ht="32.25" customHeight="1" spans="1:34" x14ac:dyDescent="0.25">
      <c r="A106" s="18"/>
      <c r="B106" s="15" t="s">
        <v>7</v>
      </c>
      <c r="C106" s="16">
        <v>0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7">
        <f t="shared" si="18"/>
        <v>0</v>
      </c>
    </row>
    <row r="107" ht="15.75" customHeight="1" spans="1:34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ht="15.75" customHeight="1" spans="1:34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ht="15.75" customHeight="1" spans="1:34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ht="15.75" customHeight="1" spans="1:34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ht="15.75" customHeight="1" spans="1:34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ht="15.75" customHeight="1" spans="1:34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ht="15.75" customHeight="1" spans="1:34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ht="15.75" customHeight="1" spans="1:34" x14ac:dyDescent="0.25">
      <c r="A114" s="38" t="s">
        <v>37</v>
      </c>
      <c r="B114" s="38"/>
      <c r="C114" s="6"/>
      <c r="D114" s="6"/>
      <c r="E114" s="6"/>
      <c r="F114" s="6"/>
      <c r="G114" s="6"/>
      <c r="H114" s="6"/>
      <c r="I114" s="6"/>
      <c r="J114" s="39" t="s">
        <v>38</v>
      </c>
      <c r="K114" s="3"/>
      <c r="L114" s="3"/>
      <c r="M114" s="3"/>
      <c r="N114" s="3"/>
      <c r="O114" s="3"/>
      <c r="P114" s="3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38" t="s">
        <v>39</v>
      </c>
      <c r="AC114" s="3"/>
      <c r="AD114" s="3"/>
      <c r="AE114" s="3"/>
      <c r="AF114" s="3"/>
      <c r="AG114" s="3"/>
      <c r="AH114" s="39"/>
    </row>
    <row r="115" ht="15.75" customHeight="1" spans="1:34" x14ac:dyDescent="0.25">
      <c r="A115" s="38"/>
      <c r="B115" s="38"/>
      <c r="C115" s="6"/>
      <c r="D115" s="6"/>
      <c r="E115" s="6"/>
      <c r="F115" s="6"/>
      <c r="G115" s="6"/>
      <c r="H115" s="6"/>
      <c r="I115" s="6"/>
      <c r="J115" s="38"/>
      <c r="K115" s="38"/>
      <c r="L115" s="38"/>
      <c r="M115" s="38"/>
      <c r="N115" s="38"/>
      <c r="O115" s="38"/>
      <c r="P115" s="38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40"/>
      <c r="AC115" s="40"/>
      <c r="AD115" s="40"/>
      <c r="AE115" s="40"/>
      <c r="AF115" s="40"/>
      <c r="AG115" s="40"/>
      <c r="AH115" s="38"/>
    </row>
    <row r="116" ht="15.75" customHeight="1" spans="1:34" x14ac:dyDescent="0.25">
      <c r="A116" s="38"/>
      <c r="B116" s="38"/>
      <c r="C116" s="6"/>
      <c r="D116" s="6"/>
      <c r="E116" s="6"/>
      <c r="F116" s="6"/>
      <c r="G116" s="6"/>
      <c r="H116" s="6"/>
      <c r="I116" s="6"/>
      <c r="J116" s="38"/>
      <c r="K116" s="38"/>
      <c r="L116" s="38"/>
      <c r="M116" s="38"/>
      <c r="N116" s="38"/>
      <c r="O116" s="38"/>
      <c r="P116" s="38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40"/>
      <c r="AC116" s="40"/>
      <c r="AD116" s="40"/>
      <c r="AE116" s="40"/>
      <c r="AF116" s="40"/>
      <c r="AG116" s="40"/>
      <c r="AH116" s="38"/>
    </row>
    <row r="117" ht="15.75" customHeight="1" spans="1:34" x14ac:dyDescent="0.25">
      <c r="A117" s="41" t="s">
        <v>40</v>
      </c>
      <c r="B117" s="3"/>
      <c r="C117" s="6"/>
      <c r="D117" s="6"/>
      <c r="E117" s="6"/>
      <c r="F117" s="6"/>
      <c r="G117" s="6"/>
      <c r="H117" s="6"/>
      <c r="I117" s="6"/>
      <c r="J117" s="41" t="s">
        <v>41</v>
      </c>
      <c r="K117" s="3"/>
      <c r="L117" s="3"/>
      <c r="M117" s="3"/>
      <c r="N117" s="3"/>
      <c r="O117" s="3"/>
      <c r="P117" s="3"/>
      <c r="Q117" s="3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42" t="s">
        <v>42</v>
      </c>
      <c r="AC117" s="3"/>
      <c r="AD117" s="3"/>
      <c r="AE117" s="3"/>
      <c r="AF117" s="3"/>
      <c r="AG117" s="3"/>
      <c r="AH117" s="3"/>
    </row>
    <row r="118" ht="15.75" customHeight="1" spans="1:34" x14ac:dyDescent="0.25">
      <c r="A118" s="43" t="s">
        <v>43</v>
      </c>
      <c r="B118" s="3"/>
      <c r="C118" s="6"/>
      <c r="D118" s="6"/>
      <c r="E118" s="6"/>
      <c r="F118" s="6"/>
      <c r="G118" s="6"/>
      <c r="H118" s="6"/>
      <c r="I118" s="6"/>
      <c r="J118" s="43" t="s">
        <v>44</v>
      </c>
      <c r="K118" s="3"/>
      <c r="L118" s="3"/>
      <c r="M118" s="3"/>
      <c r="N118" s="3"/>
      <c r="O118" s="3"/>
      <c r="P118" s="3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44" t="s">
        <v>45</v>
      </c>
      <c r="AC118" s="3"/>
      <c r="AD118" s="3"/>
      <c r="AE118" s="3"/>
      <c r="AF118" s="3"/>
      <c r="AG118" s="3"/>
      <c r="AH118" s="43"/>
    </row>
    <row r="119" ht="15.75" customHeight="1" spans="1:34" x14ac:dyDescent="0.25">
      <c r="A119" s="3"/>
      <c r="B119" s="3"/>
      <c r="C119" s="6"/>
      <c r="D119" s="6"/>
      <c r="E119" s="6"/>
      <c r="F119" s="6"/>
      <c r="G119" s="6"/>
      <c r="H119" s="6"/>
      <c r="I119" s="6"/>
      <c r="J119" s="3"/>
      <c r="K119" s="3"/>
      <c r="L119" s="3"/>
      <c r="M119" s="3"/>
      <c r="N119" s="3"/>
      <c r="O119" s="3"/>
      <c r="P119" s="3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3"/>
      <c r="AC119" s="3"/>
      <c r="AD119" s="3"/>
      <c r="AE119" s="3"/>
      <c r="AF119" s="3"/>
      <c r="AG119" s="3"/>
      <c r="AH119" s="43"/>
    </row>
    <row r="120" ht="15.75" customHeight="1" spans="1:34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ht="15.75" customHeight="1" spans="1:34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ht="15.75" customHeight="1" spans="1:34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ht="15.75" customHeight="1" spans="1:34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ht="15.75" customHeight="1" spans="1:34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ht="15.75" customHeight="1" spans="1:34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ht="15.75" customHeight="1" spans="1:34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ht="15.75" customHeight="1" spans="1:34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ht="15.75" customHeight="1" spans="1:34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ht="15.75" customHeight="1" spans="1:34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ht="15.75" customHeight="1" spans="1:34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 ht="15.75" customHeight="1" spans="1:34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 ht="15.75" customHeight="1" spans="1:34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 ht="15.75" customHeight="1" spans="1:34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 ht="15.75" customHeight="1" spans="1:34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 ht="15.75" customHeight="1" spans="1:34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 ht="15.75" customHeight="1" spans="1:34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 ht="15.75" customHeight="1" spans="1:34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 ht="15.75" customHeight="1" spans="1:34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ht="15.75" customHeight="1" spans="1:34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 ht="15.75" customHeight="1" spans="1:34" x14ac:dyDescent="0.25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</row>
    <row r="141" ht="15.75" customHeight="1" spans="1:34" x14ac:dyDescent="0.25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</row>
    <row r="142" ht="15.75" customHeight="1" spans="1:34" x14ac:dyDescent="0.25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</row>
    <row r="143" ht="15.75" customHeight="1" spans="1:34" x14ac:dyDescent="0.25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</row>
    <row r="144" ht="15.75" customHeight="1" spans="1:34" x14ac:dyDescent="0.25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</row>
    <row r="145" ht="15.75" customHeight="1" spans="1:34" x14ac:dyDescent="0.2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</row>
    <row r="146" ht="15.75" customHeight="1" spans="1:34" x14ac:dyDescent="0.25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</row>
    <row r="147" ht="15.75" customHeight="1" spans="1:34" x14ac:dyDescent="0.25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</row>
    <row r="148" ht="23.25" customHeight="1" spans="1:34" x14ac:dyDescent="0.25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</row>
    <row r="149" ht="15.75" customHeight="1" spans="1:34" x14ac:dyDescent="0.25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</row>
    <row r="150" ht="15.75" customHeight="1" spans="1:34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</row>
    <row r="151" ht="34.5" customHeight="1" spans="1:34" x14ac:dyDescent="0.25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</row>
    <row r="152" ht="34.5" customHeight="1" spans="1:34" x14ac:dyDescent="0.25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</row>
    <row r="153" ht="34.5" customHeight="1" spans="1:34" x14ac:dyDescent="0.25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</row>
    <row r="154" ht="34.5" customHeight="1" spans="1:34" x14ac:dyDescent="0.25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</row>
    <row r="155" ht="34.5" customHeight="1" spans="1:34" x14ac:dyDescent="0.2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</row>
    <row r="156" ht="34.5" customHeight="1" spans="1:34" x14ac:dyDescent="0.25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</row>
    <row r="157" ht="34.5" customHeight="1" spans="1:34" x14ac:dyDescent="0.25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</row>
    <row r="158" ht="34.5" customHeight="1" spans="1:34" x14ac:dyDescent="0.25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</row>
    <row r="159" ht="34.5" customHeight="1" spans="1:34" x14ac:dyDescent="0.25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</row>
    <row r="160" ht="34.5" customHeight="1" spans="1:34" x14ac:dyDescent="0.25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</row>
    <row r="161" ht="34.5" customHeight="1" spans="1:34" x14ac:dyDescent="0.25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</row>
    <row r="162" ht="34.5" customHeight="1" spans="1:34" x14ac:dyDescent="0.25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</row>
    <row r="163" ht="34.5" customHeight="1" spans="1:34" x14ac:dyDescent="0.25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</row>
    <row r="164" ht="34.5" customHeight="1" spans="1:34" x14ac:dyDescent="0.25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</row>
    <row r="165" ht="34.5" customHeight="1" spans="1:34" x14ac:dyDescent="0.2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</row>
    <row r="166" ht="34.5" customHeight="1" spans="1:34" x14ac:dyDescent="0.25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</row>
    <row r="167" ht="34.5" customHeight="1" spans="1:34" x14ac:dyDescent="0.25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</row>
    <row r="168" ht="34.5" customHeight="1" spans="1:34" x14ac:dyDescent="0.25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</row>
    <row r="169" ht="34.5" customHeight="1" spans="1:34" x14ac:dyDescent="0.25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</row>
    <row r="170" ht="34.5" customHeight="1" hidden="1" spans="1:34" x14ac:dyDescent="0.25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</row>
    <row r="171" ht="34.5" customHeight="1" spans="1:34" x14ac:dyDescent="0.25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</row>
    <row r="172" ht="15.75" customHeight="1" spans="1:34" x14ac:dyDescent="0.25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</row>
    <row r="173" ht="15.75" customHeight="1" spans="1:34" x14ac:dyDescent="0.25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</row>
    <row r="174" ht="15.75" customHeight="1" spans="1:34" x14ac:dyDescent="0.25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</row>
    <row r="175" ht="15.75" customHeight="1" spans="1:34" x14ac:dyDescent="0.2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</row>
    <row r="176" ht="15.75" customHeight="1" spans="1:34" x14ac:dyDescent="0.25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</row>
    <row r="177" ht="15.75" customHeight="1" spans="1:34" x14ac:dyDescent="0.25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</row>
    <row r="178" ht="15.75" customHeight="1" spans="1:34" x14ac:dyDescent="0.25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</row>
    <row r="179" ht="15.75" customHeight="1" spans="1:34" x14ac:dyDescent="0.25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</row>
    <row r="180" ht="15.75" customHeight="1" spans="1:34" x14ac:dyDescent="0.25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</row>
    <row r="181" ht="15.75" customHeight="1" spans="1:34" x14ac:dyDescent="0.25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</row>
    <row r="182" ht="15.75" customHeight="1" spans="1:34" x14ac:dyDescent="0.25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</row>
    <row r="183" ht="15.75" customHeight="1" spans="1:34" x14ac:dyDescent="0.25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</row>
    <row r="184" ht="21" customHeight="1" spans="1:34" x14ac:dyDescent="0.25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</row>
    <row r="185" ht="15.75" customHeight="1" spans="1:34" x14ac:dyDescent="0.2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</row>
    <row r="186" ht="15.75" customHeight="1" spans="1:34" x14ac:dyDescent="0.25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ht="15.75" customHeight="1" spans="1:34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ht="15.75" customHeight="1" spans="1:34" x14ac:dyDescent="0.25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ht="15.75" customHeight="1" spans="1:34" x14ac:dyDescent="0.25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ht="15.75" customHeight="1" spans="1:34" x14ac:dyDescent="0.25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ht="15.75" customHeight="1" spans="1:34" x14ac:dyDescent="0.25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ht="15.75" customHeight="1" spans="1:34" x14ac:dyDescent="0.25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</row>
    <row r="193" ht="15.75" customHeight="1" spans="1:34" x14ac:dyDescent="0.25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</row>
    <row r="194" ht="15.75" customHeight="1" spans="1:34" x14ac:dyDescent="0.25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ht="15.75" customHeight="1" spans="1:34" x14ac:dyDescent="0.2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ht="15.75" customHeight="1" spans="1:34" x14ac:dyDescent="0.25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ht="15.75" customHeight="1" spans="1:34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46"/>
      <c r="Z197" s="46"/>
      <c r="AA197" s="46"/>
      <c r="AB197" s="46"/>
      <c r="AC197" s="46"/>
      <c r="AD197" s="46"/>
      <c r="AE197" s="46"/>
      <c r="AF197" s="46"/>
      <c r="AG197" s="46"/>
      <c r="AH197" s="6"/>
    </row>
    <row r="198" ht="15.75" customHeight="1" spans="1:34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ht="15.75" customHeight="1" spans="1:34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ht="15.75" customHeight="1" spans="1:34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 ht="15.75" customHeight="1" spans="1:34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 ht="15.75" customHeight="1" spans="1:34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 ht="15.75" customHeight="1" spans="1:34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 ht="15.75" customHeight="1" spans="1:34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 ht="15.75" customHeight="1" spans="1:34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 ht="15.75" customHeight="1" spans="1:34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 ht="15.75" customHeight="1" spans="1:34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 ht="15.75" customHeight="1" spans="1:34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 ht="15.75" customHeight="1" spans="1:34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 ht="15.75" customHeight="1" spans="1:34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 ht="15.75" customHeight="1" spans="1:34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 ht="15.75" customHeight="1" spans="1:34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 ht="15.75" customHeight="1" spans="1:34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 ht="15.75" customHeight="1" spans="1:34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 ht="15.75" customHeight="1" spans="1:34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 ht="15.75" customHeight="1" spans="1:34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 ht="15.75" customHeight="1" spans="1:34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 ht="15.75" customHeight="1" spans="1:34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 ht="15.75" customHeight="1" spans="1:34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 ht="15.75" customHeight="1" spans="1:34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 ht="15.75" customHeight="1" spans="1:34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 ht="15.75" customHeight="1" spans="1:34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 ht="15.75" customHeight="1" spans="1:34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 ht="15.75" customHeight="1" spans="1:34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 ht="15.75" customHeight="1" spans="1:34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 ht="15.75" customHeight="1" spans="1:34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 ht="15.75" customHeight="1" spans="1:34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 ht="15.75" customHeight="1" spans="1:34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 ht="15.75" customHeight="1" spans="1:34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 ht="15.75" customHeight="1" spans="1:34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 ht="15.75" customHeight="1" spans="1:34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 ht="15.75" customHeight="1" spans="1:34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 ht="15.75" customHeight="1" spans="1:34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 ht="15.75" customHeight="1" spans="1:34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 ht="15.75" customHeight="1" spans="1:34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 ht="15.75" customHeight="1" spans="1:34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 ht="15.75" customHeight="1" spans="1:34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 ht="15.75" customHeight="1" spans="1:34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 ht="15.75" customHeight="1" spans="1:34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 ht="15.75" customHeight="1" spans="1:34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 ht="15.75" customHeight="1" spans="1:34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 ht="15.75" customHeight="1" spans="1:34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 ht="15.75" customHeight="1" spans="1:34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 ht="15.75" customHeight="1" spans="1:34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 ht="15.75" customHeight="1" spans="1:34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 ht="15.75" customHeight="1" spans="1:34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 ht="15.75" customHeight="1" spans="1:34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 ht="15.75" customHeight="1" spans="1:34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 ht="15.75" customHeight="1" spans="1:34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 ht="15.75" customHeight="1" spans="1:34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 ht="15.75" customHeight="1" spans="1:34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 ht="15.75" customHeight="1" spans="1:34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 ht="15.75" customHeight="1" spans="1:34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 ht="15.75" customHeight="1" spans="1:34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 ht="15.75" customHeight="1" spans="1:34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 ht="15.75" customHeight="1" spans="1:34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 ht="15.75" customHeight="1" spans="1:34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 ht="15.75" customHeight="1" spans="1:34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 ht="15.75" customHeight="1" spans="1:34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 ht="15.75" customHeight="1" spans="1:34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 ht="15.75" customHeight="1" spans="1:34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 ht="15.75" customHeight="1" spans="1:34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 ht="15.75" customHeight="1" spans="1:34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 ht="15.75" customHeight="1" spans="1:34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 ht="15.75" customHeight="1" spans="1:34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 ht="15.75" customHeight="1" spans="1:34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 ht="15.75" customHeight="1" spans="1:34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 ht="15.75" customHeight="1" spans="1:34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 ht="15.75" customHeight="1" spans="1:34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 ht="15.75" customHeight="1" spans="1:34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 ht="15.75" customHeight="1" spans="1:34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 ht="15.75" customHeight="1" spans="1:34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 ht="15.75" customHeight="1" spans="1:34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 ht="15.75" customHeight="1" spans="1:34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 ht="15.75" customHeight="1" spans="1:34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 ht="15.75" customHeight="1" spans="1:34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 ht="15.75" customHeight="1" spans="1:34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 ht="15.75" customHeight="1" spans="1:34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 ht="15.75" customHeight="1" spans="1:34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 ht="15.75" customHeight="1" spans="1:34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 ht="15.75" customHeight="1" spans="1:34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 ht="15.75" customHeight="1" spans="1:34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 ht="15.75" customHeight="1" spans="1:34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 ht="15.75" customHeight="1" spans="1:34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 ht="15.75" customHeight="1" spans="1:34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 ht="15.75" customHeight="1" spans="1:34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 ht="15.75" customHeight="1" spans="1:34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 ht="15.75" customHeight="1" spans="1:34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 ht="15.75" customHeight="1" spans="1:34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 ht="15.75" customHeight="1" spans="1:34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 ht="15.75" customHeight="1" spans="1:34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 ht="15.75" customHeight="1" spans="1:34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 ht="15.75" customHeight="1" spans="1:34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 ht="15.75" customHeight="1" spans="1:34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 ht="15.75" customHeight="1" spans="1:34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 ht="15.75" customHeight="1" spans="1:34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 ht="15.75" customHeight="1" spans="1:34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 ht="15.75" customHeight="1" spans="1:34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  <row r="299" ht="15.75" customHeight="1" spans="1:34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</row>
    <row r="300" ht="15.75" customHeight="1" spans="1:34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</row>
    <row r="301" ht="15.75" customHeight="1" spans="1:34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</row>
    <row r="302" ht="15.75" customHeight="1" spans="1:34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</row>
    <row r="303" ht="15.75" customHeight="1" spans="1:34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</row>
    <row r="304" ht="15.75" customHeight="1" spans="1:34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</row>
    <row r="305" ht="15.75" customHeight="1" spans="1:34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</row>
    <row r="306" ht="15.75" customHeight="1" spans="1:34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</row>
    <row r="307" ht="15.75" customHeight="1" spans="1:34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</row>
    <row r="308" ht="15.75" customHeight="1" spans="1:34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</row>
    <row r="309" ht="15.75" customHeight="1" spans="1:34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</row>
    <row r="310" ht="15.75" customHeight="1" spans="1:34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</row>
    <row r="311" ht="15.75" customHeight="1" spans="1:34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</row>
    <row r="312" ht="15.75" customHeight="1" spans="1:34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</row>
    <row r="313" ht="15.75" customHeight="1" spans="1:34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</row>
    <row r="314" ht="15.75" customHeight="1" spans="1:34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</row>
    <row r="315" ht="15.75" customHeight="1" spans="1:34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</row>
    <row r="316" ht="15.75" customHeight="1" spans="1:34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</row>
    <row r="317" ht="15.75" customHeight="1" spans="1:34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</row>
    <row r="318" ht="15.75" customHeight="1" spans="1:34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</row>
    <row r="319" ht="15.75" customHeight="1" spans="1:34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</row>
    <row r="320" ht="15.75" customHeight="1" spans="1:34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</row>
    <row r="321" ht="15.75" customHeight="1" spans="1:34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</row>
    <row r="322" ht="15.75" customHeight="1" spans="1:34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</row>
    <row r="323" ht="15.75" customHeight="1" spans="1:34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</row>
    <row r="324" ht="15.75" customHeight="1" spans="1:34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</row>
    <row r="325" ht="15.75" customHeight="1" spans="1:34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</row>
    <row r="326" ht="15.75" customHeight="1" spans="1:34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</row>
    <row r="327" ht="15.75" customHeight="1" spans="1:34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</row>
    <row r="328" ht="15.75" customHeight="1" spans="1:34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</row>
    <row r="329" ht="15.75" customHeight="1" spans="1:34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</row>
    <row r="330" ht="15.75" customHeight="1" spans="1:34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</row>
    <row r="331" ht="15.75" customHeight="1" spans="1:34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</row>
    <row r="332" ht="15.75" customHeight="1" spans="1:34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</row>
    <row r="333" ht="15.75" customHeight="1" spans="1:34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</row>
    <row r="334" ht="15.75" customHeight="1" spans="1:34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</row>
    <row r="335" ht="15.75" customHeight="1" spans="1:34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</row>
    <row r="336" ht="15.75" customHeight="1" spans="1:34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</row>
    <row r="337" ht="15.75" customHeight="1" spans="1:34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</row>
    <row r="338" ht="15.75" customHeight="1" spans="1:34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</row>
    <row r="339" ht="15.75" customHeight="1" spans="1:34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</row>
    <row r="340" ht="15.75" customHeight="1" spans="1:34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</row>
    <row r="341" ht="15.75" customHeight="1" spans="1:34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</row>
    <row r="342" ht="15.75" customHeight="1" spans="1:34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</row>
    <row r="343" ht="15.75" customHeight="1" spans="1:34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</row>
    <row r="344" ht="15.75" customHeight="1" spans="1:34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</row>
    <row r="345" ht="15.75" customHeight="1" spans="1:34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</row>
    <row r="346" ht="15.75" customHeight="1" spans="1:34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</row>
    <row r="347" ht="15.75" customHeight="1" spans="1:34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</row>
    <row r="348" ht="15.75" customHeight="1" spans="1:34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</row>
    <row r="349" ht="15.75" customHeight="1" spans="1:34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</row>
    <row r="350" ht="15.75" customHeight="1" spans="1:34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</row>
    <row r="351" ht="15.75" customHeight="1" spans="1:34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</row>
    <row r="352" ht="15.75" customHeight="1" spans="1:34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</row>
    <row r="353" ht="15.75" customHeight="1" spans="1:34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</row>
    <row r="354" ht="15.75" customHeight="1" spans="1:34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</row>
    <row r="355" ht="15.75" customHeight="1" spans="1:34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</row>
    <row r="356" ht="15.75" customHeight="1" spans="1:34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</row>
    <row r="357" ht="15.75" customHeight="1" spans="1:34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</row>
    <row r="358" ht="15.75" customHeight="1" spans="1:34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</row>
    <row r="359" ht="15.75" customHeight="1" spans="1:34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</row>
    <row r="360" ht="15.75" customHeight="1" spans="1:34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</row>
    <row r="361" ht="15.75" customHeight="1" spans="1:34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</row>
    <row r="362" ht="15.75" customHeight="1" spans="1:34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</row>
    <row r="363" ht="15.75" customHeight="1" spans="1:34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</row>
    <row r="364" ht="15.75" customHeight="1" spans="1:34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</row>
    <row r="365" ht="15.75" customHeight="1" spans="1:34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</row>
    <row r="366" ht="15.75" customHeight="1" spans="1:34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</row>
    <row r="367" ht="15.75" customHeight="1" spans="1:34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</row>
    <row r="368" ht="15.75" customHeight="1" spans="1:34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</row>
    <row r="369" ht="15.75" customHeight="1" spans="1:34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</row>
    <row r="370" ht="15.75" customHeight="1" spans="1:34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</row>
    <row r="371" ht="15.75" customHeight="1" spans="1:34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</row>
    <row r="372" ht="15.75" customHeight="1" spans="1:34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</row>
    <row r="373" ht="15.75" customHeight="1" spans="1:34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</row>
    <row r="374" ht="15.75" customHeight="1" spans="1:34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</row>
    <row r="375" ht="15.75" customHeight="1" spans="1:34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</row>
    <row r="376" ht="15.75" customHeight="1" spans="1:34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</row>
    <row r="377" ht="15.75" customHeight="1" spans="1:34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</row>
    <row r="378" ht="15.75" customHeight="1" spans="1:34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</row>
    <row r="379" ht="15.75" customHeight="1" spans="1:34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</row>
    <row r="380" ht="15.75" customHeight="1" spans="1:34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</row>
    <row r="381" ht="15.75" customHeight="1" spans="1:34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</row>
    <row r="382" ht="15.75" customHeight="1" spans="1:34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</row>
    <row r="383" ht="15.75" customHeight="1" spans="1:34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</row>
    <row r="384" ht="15.75" customHeight="1" spans="1:34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</row>
    <row r="385" ht="15.75" customHeight="1" spans="1:34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</row>
    <row r="386" ht="15.75" customHeight="1" spans="1:34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</row>
    <row r="387" ht="15.75" customHeight="1" spans="1:34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</row>
    <row r="388" ht="15.75" customHeight="1" spans="1:34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</row>
    <row r="389" ht="15.75" customHeight="1" spans="1:34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</row>
    <row r="390" ht="15.75" customHeight="1" spans="1:34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</row>
    <row r="391" ht="15.75" customHeight="1" spans="1:34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</row>
    <row r="392" ht="15.75" customHeight="1" spans="1:34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</row>
    <row r="393" ht="15.75" customHeight="1" spans="1:34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</row>
    <row r="394" ht="15.75" customHeight="1" spans="1:34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</row>
    <row r="395" ht="15.75" customHeight="1" spans="1:34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</row>
    <row r="396" ht="15.75" customHeight="1" spans="1:34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</row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</sheetData>
  <mergeCells count="67">
    <mergeCell ref="A1:AH8"/>
    <mergeCell ref="A10:AG10"/>
    <mergeCell ref="A11:AH11"/>
    <mergeCell ref="A12:AH12"/>
    <mergeCell ref="A13:B13"/>
    <mergeCell ref="A14:A15"/>
    <mergeCell ref="A17:AH17"/>
    <mergeCell ref="A18:B18"/>
    <mergeCell ref="A19:A20"/>
    <mergeCell ref="A22:AH22"/>
    <mergeCell ref="A23:B23"/>
    <mergeCell ref="A24:A25"/>
    <mergeCell ref="A27:AH27"/>
    <mergeCell ref="A28:B28"/>
    <mergeCell ref="A29:A30"/>
    <mergeCell ref="A32:AH32"/>
    <mergeCell ref="A33:B33"/>
    <mergeCell ref="A34:A35"/>
    <mergeCell ref="A37:AH37"/>
    <mergeCell ref="A38:B38"/>
    <mergeCell ref="A39:A40"/>
    <mergeCell ref="A42:AH42"/>
    <mergeCell ref="A43:B43"/>
    <mergeCell ref="A44:A45"/>
    <mergeCell ref="A47:AH47"/>
    <mergeCell ref="A48:B48"/>
    <mergeCell ref="A49:A50"/>
    <mergeCell ref="A52:AH52"/>
    <mergeCell ref="A53:B53"/>
    <mergeCell ref="A54:A55"/>
    <mergeCell ref="A57:AH57"/>
    <mergeCell ref="A58:B58"/>
    <mergeCell ref="A59:A60"/>
    <mergeCell ref="A62:AH62"/>
    <mergeCell ref="A63:B63"/>
    <mergeCell ref="A64:A65"/>
    <mergeCell ref="A67:AH67"/>
    <mergeCell ref="A68:B68"/>
    <mergeCell ref="A69:A70"/>
    <mergeCell ref="A72:AH72"/>
    <mergeCell ref="A73:B73"/>
    <mergeCell ref="A77:AH77"/>
    <mergeCell ref="A78:B78"/>
    <mergeCell ref="A79:A80"/>
    <mergeCell ref="A82:AH82"/>
    <mergeCell ref="A83:B83"/>
    <mergeCell ref="A84:A85"/>
    <mergeCell ref="A87:AH87"/>
    <mergeCell ref="A88:B88"/>
    <mergeCell ref="A89:A90"/>
    <mergeCell ref="A92:AH92"/>
    <mergeCell ref="A93:B93"/>
    <mergeCell ref="A94:A95"/>
    <mergeCell ref="A98:AH98"/>
    <mergeCell ref="A99:B99"/>
    <mergeCell ref="A100:A101"/>
    <mergeCell ref="A103:AH103"/>
    <mergeCell ref="A104:B104"/>
    <mergeCell ref="A105:A106"/>
    <mergeCell ref="J114:P114"/>
    <mergeCell ref="AB114:AG114"/>
    <mergeCell ref="A117:B117"/>
    <mergeCell ref="J117:Q117"/>
    <mergeCell ref="AB117:AH117"/>
    <mergeCell ref="A118:B119"/>
    <mergeCell ref="J118:P119"/>
    <mergeCell ref="AB118:AG119"/>
  </mergeCells>
  <pageMargins left="0.708661417322835" right="0.708661417322835" top="0.24" bottom="0.24" header="0" footer="0"/>
  <pageSetup paperSize="14" orientation="landscape" horizontalDpi="4294967295" verticalDpi="4294967295" scale="10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0" summaryRight="0"/>
  </sheetPr>
  <dimension ref="A1:AP997"/>
  <sheetViews>
    <sheetView workbookViewId="0" zoomScale="100" zoomScaleNormal="100"/>
  </sheetViews>
  <sheetFormatPr defaultRowHeight="15" outlineLevelRow="0" outlineLevelCol="0" x14ac:dyDescent="0" defaultColWidth="14.42578125"/>
  <cols>
    <col min="1" max="1" width="18.85546875" customWidth="1"/>
    <col min="2" max="32" width="6.5703125" customWidth="1"/>
    <col min="33" max="33" width="8.140625" customWidth="1"/>
    <col min="34" max="34" width="4.5703125" customWidth="1"/>
    <col min="35" max="38" width="8.140625" customWidth="1"/>
    <col min="39" max="39" width="11.85546875" customWidth="1"/>
    <col min="40" max="40" width="11.5703125" customWidth="1"/>
    <col min="41" max="41" width="17.42578125" customWidth="1"/>
    <col min="42" max="42" width="9.85546875" customWidth="1"/>
  </cols>
  <sheetData>
    <row r="1" ht="15.75" customHeight="1" spans="1:42" x14ac:dyDescent="0.25">
      <c r="A1" s="45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ht="20.25" customHeight="1" spans="1:42" x14ac:dyDescent="0.25">
      <c r="A2" s="47" t="s">
        <v>47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ht="15.75" customHeight="1" spans="1:42" x14ac:dyDescent="0.25">
      <c r="A3" s="48" t="s">
        <v>48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ht="15.75" customHeight="1" spans="1:42" x14ac:dyDescent="0.25">
      <c r="A4" s="45" t="s">
        <v>49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1:42" x14ac:dyDescent="0.25">
      <c r="A5" s="49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</row>
    <row r="6" spans="1:42" x14ac:dyDescent="0.25">
      <c r="A6" s="50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 spans="1:42" x14ac:dyDescent="0.25">
      <c r="A7" s="51" t="s">
        <v>52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</row>
    <row r="8" ht="15.75" customHeight="1" spans="1:42" x14ac:dyDescent="0.25">
      <c r="A8" s="42" t="s">
        <v>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x14ac:dyDescent="0.25">
      <c r="A9" s="40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 ht="23.25" customHeight="1" spans="1:42" x14ac:dyDescent="0.25">
      <c r="A10" s="53" t="s">
        <v>53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 ht="15.75" customHeight="1" spans="1:42" x14ac:dyDescent="0.25">
      <c r="A11" s="5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ht="30" customHeight="1" spans="1:42" x14ac:dyDescent="0.25">
      <c r="A12" s="54" t="s">
        <v>54</v>
      </c>
      <c r="B12" s="54">
        <v>1</v>
      </c>
      <c r="C12" s="54">
        <v>2</v>
      </c>
      <c r="D12" s="54">
        <v>3</v>
      </c>
      <c r="E12" s="54">
        <v>4</v>
      </c>
      <c r="F12" s="54">
        <v>5</v>
      </c>
      <c r="G12" s="54">
        <v>6</v>
      </c>
      <c r="H12" s="54">
        <v>7</v>
      </c>
      <c r="I12" s="54">
        <v>8</v>
      </c>
      <c r="J12" s="54">
        <v>9</v>
      </c>
      <c r="K12" s="54">
        <v>10</v>
      </c>
      <c r="L12" s="54">
        <v>11</v>
      </c>
      <c r="M12" s="54">
        <v>12</v>
      </c>
      <c r="N12" s="54">
        <v>13</v>
      </c>
      <c r="O12" s="54">
        <v>14</v>
      </c>
      <c r="P12" s="54">
        <v>15</v>
      </c>
      <c r="Q12" s="54">
        <v>16</v>
      </c>
      <c r="R12" s="54">
        <v>17</v>
      </c>
      <c r="S12" s="54">
        <v>18</v>
      </c>
      <c r="T12" s="54">
        <v>19</v>
      </c>
      <c r="U12" s="54">
        <v>20</v>
      </c>
      <c r="V12" s="54">
        <v>21</v>
      </c>
      <c r="W12" s="54">
        <v>22</v>
      </c>
      <c r="X12" s="54">
        <v>23</v>
      </c>
      <c r="Y12" s="54">
        <v>24</v>
      </c>
      <c r="Z12" s="54">
        <v>25</v>
      </c>
      <c r="AA12" s="54">
        <v>26</v>
      </c>
      <c r="AB12" s="54">
        <v>27</v>
      </c>
      <c r="AC12" s="54">
        <v>28</v>
      </c>
      <c r="AD12" s="54">
        <v>29</v>
      </c>
      <c r="AE12" s="54">
        <v>30</v>
      </c>
      <c r="AF12" s="54">
        <v>31</v>
      </c>
      <c r="AG12" s="54" t="s">
        <v>55</v>
      </c>
      <c r="AH12" s="45"/>
      <c r="AI12" s="55" t="s">
        <v>56</v>
      </c>
      <c r="AJ12" s="56" t="s">
        <v>57</v>
      </c>
      <c r="AK12" s="57"/>
      <c r="AL12" s="58"/>
      <c r="AM12" s="59" t="s">
        <v>58</v>
      </c>
      <c r="AN12" s="59" t="s">
        <v>59</v>
      </c>
      <c r="AO12" s="59" t="s">
        <v>60</v>
      </c>
      <c r="AP12" s="59" t="s">
        <v>61</v>
      </c>
    </row>
    <row r="13" ht="30" customHeight="1" spans="1:42" x14ac:dyDescent="0.25">
      <c r="A13" s="60" t="s">
        <v>62</v>
      </c>
      <c r="B13" s="61">
        <f>SUM(February!C24,February!C25,February!C29,February!C30,February!C34,February!C35,February!C39,February!C40)</f>
        <v>0</v>
      </c>
      <c r="C13" s="61">
        <f>SUM(February!D24,February!D25,February!D29,February!D30,February!D34,February!D35,February!D39,February!D40)</f>
        <v>0</v>
      </c>
      <c r="D13" s="61">
        <f>SUM(February!E24,February!E25,February!E29,February!E30,February!E34,February!E35,February!E39,February!E40)</f>
        <v>0</v>
      </c>
      <c r="E13" s="61">
        <f>SUM(February!F24,February!F25,February!F29,February!F30,February!F34,February!F35,February!F39,February!F40)</f>
        <v>0</v>
      </c>
      <c r="F13" s="61">
        <f>SUM(February!G24,February!G25,February!G29,February!G30,February!G34,February!G35,February!G39,February!G40)</f>
        <v>0</v>
      </c>
      <c r="G13" s="61">
        <f>SUM(February!H24,February!H25,February!H29,February!H30,February!H34,February!H35,February!H39,February!H40)</f>
        <v>0</v>
      </c>
      <c r="H13" s="61">
        <f>SUM(February!I24,February!I25,February!I29,February!I30,February!I34,February!I35,February!I39,February!I40)</f>
        <v>0</v>
      </c>
      <c r="I13" s="61">
        <f>SUM(February!J24,February!J25,February!J29,February!J30,February!J34,February!J35,February!J39,February!J40)</f>
        <v>0</v>
      </c>
      <c r="J13" s="61">
        <f>SUM(February!K24,February!K25,February!K29,February!K30,February!K34,February!K35,February!K39,February!K40)</f>
        <v>0</v>
      </c>
      <c r="K13" s="61">
        <f>SUM(February!L24,February!L25,February!L29,February!L30,February!L34,February!L35,February!L39,February!L40)</f>
        <v>0</v>
      </c>
      <c r="L13" s="61">
        <f>SUM(February!M24,February!M25,February!M29,February!M30,February!M34,February!M35,February!M39,February!M40)</f>
        <v>0</v>
      </c>
      <c r="M13" s="61">
        <f>SUM(February!N24,February!N25,February!N29,February!N30,February!N34,February!N35,February!N39,February!N40)</f>
        <v>0</v>
      </c>
      <c r="N13" s="61">
        <f>SUM(February!O24,February!O25,February!O29,February!O30,February!O34,February!O35,February!O39,February!O40)</f>
        <v>0</v>
      </c>
      <c r="O13" s="61">
        <f>SUM(February!P24,February!P25,February!P29,February!P30,February!P34,February!P35,February!P39,February!P40)</f>
        <v>0</v>
      </c>
      <c r="P13" s="61">
        <f>SUM(February!Q24,February!Q25,February!Q29,February!Q30,February!Q34,February!Q35,February!Q39,February!Q40)</f>
        <v>0</v>
      </c>
      <c r="Q13" s="61">
        <f>SUM(February!R24,February!R25,February!R29,February!R30,February!R34,February!R35,February!R39,February!R40)</f>
        <v>0</v>
      </c>
      <c r="R13" s="61">
        <f>SUM(February!S24,February!S25,February!S29,February!S30,February!S34,February!S35,February!S39,February!S40)</f>
        <v>0</v>
      </c>
      <c r="S13" s="61">
        <f>SUM(February!T24,February!T25,February!T29,February!T30,February!T34,February!T35,February!T39,February!T40)</f>
        <v>0</v>
      </c>
      <c r="T13" s="61">
        <f>SUM(February!U24,February!U25,February!U29,February!U30,February!U34,February!U35,February!U39,February!U40)</f>
        <v>0</v>
      </c>
      <c r="U13" s="61">
        <f>SUM(February!V24,February!V25,February!V29,February!V30,February!V34,February!V35,February!V39,February!V40)</f>
        <v>0</v>
      </c>
      <c r="V13" s="61">
        <f>SUM(February!W24,February!W25,February!W29,February!W30,February!W34,February!W35,February!W39,February!W40)</f>
        <v>0</v>
      </c>
      <c r="W13" s="61">
        <f>SUM(February!X24,February!X25,February!X29,February!X30,February!X34,February!X35,February!X39,February!X40)</f>
        <v>0</v>
      </c>
      <c r="X13" s="61">
        <f>SUM(February!Y24,February!Y25,February!Y29,February!Y30,February!Y34,February!Y35,February!Y39,February!Y40)</f>
        <v>0</v>
      </c>
      <c r="Y13" s="61">
        <f>SUM(February!Z24,February!Z25,February!Z29,February!Z30,February!Z34,February!Z35,February!Z39,February!Z40)</f>
        <v>0</v>
      </c>
      <c r="Z13" s="61">
        <f>SUM(February!AA24,February!AA25,February!AA29,February!AA30,February!AA34,February!AA35,February!AA39,February!AA40)</f>
        <v>0</v>
      </c>
      <c r="AA13" s="61">
        <f>SUM(February!AB24,February!AB25,February!AB29,February!AB30,February!AB34,February!AB35,February!AB39,February!AB40)</f>
        <v>0</v>
      </c>
      <c r="AB13" s="61">
        <f>SUM(February!AC24,February!AC25,February!AC29,February!AC30,February!AC34,February!AC35,February!AC39,February!AC40)</f>
        <v>0</v>
      </c>
      <c r="AC13" s="61">
        <f>SUM(February!AD24,February!AD25,February!AD29,February!AD30,February!AD34,February!AD35,February!AD39,February!AD40)</f>
        <v>0</v>
      </c>
      <c r="AD13" s="61">
        <f>SUM(February!AE24,February!AE25,February!AE29,February!AE30,February!AE34,February!AE35,February!AE39,February!AE40)</f>
        <v>0</v>
      </c>
      <c r="AE13" s="61">
        <f>SUM(February!AF24,February!AF25,February!AF29,February!AF30,February!AF34,February!AF35,February!AF39,February!AF40)</f>
        <v>0</v>
      </c>
      <c r="AF13" s="61">
        <f>SUM(February!AG24,February!AG25,February!AG29,February!AG30,February!AG34,February!AG35,February!AG39,February!AG40)</f>
        <v>0</v>
      </c>
      <c r="AG13" s="62">
        <f t="shared" ref="AG13:AG20" si="0">SUM(B13:AF13)</f>
        <v>0</v>
      </c>
      <c r="AH13" s="45"/>
      <c r="AI13" s="63" t="s">
        <v>63</v>
      </c>
      <c r="AJ13" s="64" t="s">
        <v>64</v>
      </c>
      <c r="AK13" s="65"/>
      <c r="AL13" s="66"/>
      <c r="AM13" s="67">
        <f>SUM(February!AH14)</f>
        <v>0</v>
      </c>
      <c r="AN13" s="67">
        <f>SUM(February!AH15)</f>
        <v>0</v>
      </c>
      <c r="AO13" s="68">
        <f>SUM(February!AH14,February!AH15)</f>
        <v>0</v>
      </c>
      <c r="AP13" s="69">
        <f>SUM(AO13,AO14)</f>
        <v>0</v>
      </c>
    </row>
    <row r="14" ht="30" customHeight="1" spans="1:42" x14ac:dyDescent="0.25">
      <c r="A14" s="60" t="s">
        <v>65</v>
      </c>
      <c r="B14" s="61">
        <f>SUM(February!C14,February!C15,February!C19,February!C20)</f>
        <v>0</v>
      </c>
      <c r="C14" s="61">
        <f>SUM(February!D14,February!D15,February!D19,February!D20)</f>
        <v>0</v>
      </c>
      <c r="D14" s="61">
        <f>SUM(February!E14,February!E15,February!E19,February!E20)</f>
        <v>0</v>
      </c>
      <c r="E14" s="61">
        <f>SUM(February!F14,February!F15,February!F19,February!F20)</f>
        <v>0</v>
      </c>
      <c r="F14" s="61">
        <f>SUM(February!G14,February!G15,February!G19,February!G20)</f>
        <v>0</v>
      </c>
      <c r="G14" s="61">
        <f>SUM(February!H14,February!H15,February!H19,February!H20)</f>
        <v>0</v>
      </c>
      <c r="H14" s="61">
        <f>SUM(February!I14,February!I15,February!I19,February!I20)</f>
        <v>0</v>
      </c>
      <c r="I14" s="61">
        <f>SUM(February!J14,February!J15,February!J19,February!J20)</f>
        <v>0</v>
      </c>
      <c r="J14" s="61">
        <f>SUM(February!K14,February!K15,February!K19,February!K20)</f>
        <v>0</v>
      </c>
      <c r="K14" s="61">
        <f>SUM(February!L14,February!L15,February!L19,February!L20)</f>
        <v>0</v>
      </c>
      <c r="L14" s="61">
        <f>SUM(February!M14,February!M15,February!M19,February!M20)</f>
        <v>0</v>
      </c>
      <c r="M14" s="61">
        <f>SUM(February!N14,February!N15,February!N19,February!N20)</f>
        <v>0</v>
      </c>
      <c r="N14" s="61">
        <f>SUM(February!O14,February!O15,February!O19,February!O20)</f>
        <v>0</v>
      </c>
      <c r="O14" s="61">
        <f>SUM(February!P14,February!P15,February!P19,February!P20)</f>
        <v>0</v>
      </c>
      <c r="P14" s="61">
        <f>SUM(February!Q14,February!Q15,February!Q19,February!Q20)</f>
        <v>0</v>
      </c>
      <c r="Q14" s="61">
        <f>SUM(February!R14,February!R15,February!R19,February!R20)</f>
        <v>0</v>
      </c>
      <c r="R14" s="61">
        <f>SUM(February!S14,February!S15,February!S19,February!S20)</f>
        <v>0</v>
      </c>
      <c r="S14" s="61">
        <f>SUM(February!T14,February!T15,February!T19,February!T20)</f>
        <v>0</v>
      </c>
      <c r="T14" s="61">
        <f>SUM(February!U14,February!U15,February!U19,February!U20)</f>
        <v>0</v>
      </c>
      <c r="U14" s="61">
        <f>SUM(February!V14,February!V15,February!V19,February!V20)</f>
        <v>0</v>
      </c>
      <c r="V14" s="61">
        <f>SUM(February!W14,February!W15,February!W19,February!W20)</f>
        <v>0</v>
      </c>
      <c r="W14" s="61">
        <f>SUM(February!X14,February!X15,February!X19,February!X20)</f>
        <v>0</v>
      </c>
      <c r="X14" s="61">
        <f>SUM(February!Y14,February!Y15,February!Y19,February!Y20)</f>
        <v>0</v>
      </c>
      <c r="Y14" s="61">
        <f>SUM(February!Z14,February!Z15,February!Z19,February!Z20)</f>
        <v>0</v>
      </c>
      <c r="Z14" s="61">
        <f>SUM(February!AA14,February!AA15,February!AA19,February!AA20)</f>
        <v>0</v>
      </c>
      <c r="AA14" s="61">
        <f>SUM(February!AB14,February!AB15,February!AB19,February!AB20)</f>
        <v>0</v>
      </c>
      <c r="AB14" s="61">
        <f>SUM(February!AC14,February!AC15,February!AC19,February!AC20)</f>
        <v>0</v>
      </c>
      <c r="AC14" s="61">
        <f>SUM(February!AD14,February!AD15,February!AD19,February!AD20)</f>
        <v>0</v>
      </c>
      <c r="AD14" s="61">
        <f>SUM(February!AE14,February!AE15,February!AE19,February!AE20)</f>
        <v>0</v>
      </c>
      <c r="AE14" s="61">
        <f>SUM(February!AF14,February!AF15,February!AF19,February!AF20)</f>
        <v>0</v>
      </c>
      <c r="AF14" s="61">
        <f>SUM(February!AG14,February!AG15,February!AG19,February!AG20)</f>
        <v>0</v>
      </c>
      <c r="AG14" s="62">
        <f t="shared" si="0"/>
        <v>0</v>
      </c>
      <c r="AH14" s="45"/>
      <c r="AI14" s="70"/>
      <c r="AJ14" s="71" t="s">
        <v>66</v>
      </c>
      <c r="AK14" s="72"/>
      <c r="AL14" s="73"/>
      <c r="AM14" s="74">
        <f>SUM(February!AH19)</f>
        <v>0</v>
      </c>
      <c r="AN14" s="74">
        <f>SUM(February!AH20)</f>
        <v>0</v>
      </c>
      <c r="AO14" s="75">
        <f>SUM(February!AH19,February!AH20)</f>
        <v>0</v>
      </c>
      <c r="AP14" s="70"/>
    </row>
    <row r="15" ht="30" customHeight="1" spans="1:42" x14ac:dyDescent="0.25">
      <c r="A15" s="60" t="s">
        <v>67</v>
      </c>
      <c r="B15" s="61">
        <f>SUM(February!C44,February!C45,February!C49,February!C50,February!C54,February!C55)</f>
        <v>0</v>
      </c>
      <c r="C15" s="61">
        <f>SUM(February!D44,February!D45,February!D49,February!D50,February!D54,February!D55)</f>
        <v>0</v>
      </c>
      <c r="D15" s="61">
        <f>SUM(February!E44,February!E45,February!E49,February!E50,February!E54,February!E55)</f>
        <v>0</v>
      </c>
      <c r="E15" s="61">
        <f>SUM(February!F44,February!F45,February!F49,February!F50,February!F54,February!F55)</f>
        <v>0</v>
      </c>
      <c r="F15" s="61">
        <f>SUM(February!G44,February!G45,February!G49,February!G50,February!G54,February!G55)</f>
        <v>0</v>
      </c>
      <c r="G15" s="61">
        <f>SUM(February!H44,February!H45,February!H49,February!H50,February!H54,February!H55)</f>
        <v>0</v>
      </c>
      <c r="H15" s="61">
        <f>SUM(February!I44,February!I45,February!I49,February!I50,February!I54,February!I55)</f>
        <v>0</v>
      </c>
      <c r="I15" s="61">
        <f>SUM(February!J44,February!J45,February!J49,February!J50,February!J54,February!J55)</f>
        <v>0</v>
      </c>
      <c r="J15" s="61">
        <f>SUM(February!K44,February!K45,February!K49,February!K50,February!K54,February!K55)</f>
        <v>0</v>
      </c>
      <c r="K15" s="61">
        <f>SUM(February!L44,February!L45,February!L49,February!L50,February!L54,February!L55)</f>
        <v>0</v>
      </c>
      <c r="L15" s="61">
        <f>SUM(February!M44,February!M45,February!M49,February!M50,February!M54,February!M55)</f>
        <v>0</v>
      </c>
      <c r="M15" s="61">
        <f>SUM(February!N44,February!N45,February!N49,February!N50,February!N54,February!N55)</f>
        <v>0</v>
      </c>
      <c r="N15" s="61">
        <f>SUM(February!O44,February!O45,February!O49,February!O50,February!O54,February!O55)</f>
        <v>0</v>
      </c>
      <c r="O15" s="61">
        <f>SUM(February!P44,February!P45,February!P49,February!P50,February!P54,February!P55)</f>
        <v>0</v>
      </c>
      <c r="P15" s="61">
        <f>SUM(February!Q44,February!Q45,February!Q49,February!Q50,February!Q54,February!Q55)</f>
        <v>0</v>
      </c>
      <c r="Q15" s="61">
        <f>SUM(February!R44,February!R45,February!R49,February!R50,February!R54,February!R55)</f>
        <v>0</v>
      </c>
      <c r="R15" s="61">
        <f>SUM(February!S44,February!S45,February!S49,February!S50,February!S54,February!S55)</f>
        <v>0</v>
      </c>
      <c r="S15" s="61">
        <f>SUM(February!T44,February!T45,February!T49,February!T50,February!T54,February!T55)</f>
        <v>0</v>
      </c>
      <c r="T15" s="61">
        <f>SUM(February!U44,February!U45,February!U49,February!U50,February!U54,February!U55)</f>
        <v>0</v>
      </c>
      <c r="U15" s="61">
        <f>SUM(February!V44,February!V45,February!V49,February!V50,February!V54,February!V55)</f>
        <v>0</v>
      </c>
      <c r="V15" s="61">
        <f>SUM(February!W44,February!W45,February!W49,February!W50,February!W54,February!W55)</f>
        <v>0</v>
      </c>
      <c r="W15" s="61">
        <f>SUM(February!X44,February!X45,February!X49,February!X50,February!X54,February!X55)</f>
        <v>0</v>
      </c>
      <c r="X15" s="61">
        <f>SUM(February!Y44,February!Y45,February!Y49,February!Y50,February!Y54,February!Y55)</f>
        <v>0</v>
      </c>
      <c r="Y15" s="61">
        <f>SUM(February!Z44,February!Z45,February!Z49,February!Z50,February!Z54,February!Z55)</f>
        <v>0</v>
      </c>
      <c r="Z15" s="61">
        <f>SUM(February!AA44,February!AA45,February!AA49,February!AA50,February!AA54,February!AA55)</f>
        <v>0</v>
      </c>
      <c r="AA15" s="61">
        <f>SUM(February!AB44,February!AB45,February!AB49,February!AB50,February!AB54,February!AB55)</f>
        <v>0</v>
      </c>
      <c r="AB15" s="61">
        <f>SUM(February!AC44,February!AC45,February!AC49,February!AC50,February!AC54,February!AC55)</f>
        <v>0</v>
      </c>
      <c r="AC15" s="61">
        <f>SUM(February!AD44,February!AD45,February!AD49,February!AD50,February!AD54,February!AD55)</f>
        <v>0</v>
      </c>
      <c r="AD15" s="61">
        <f>SUM(February!AE44,February!AE45,February!AE49,February!AE50,February!AE54,February!AE55)</f>
        <v>0</v>
      </c>
      <c r="AE15" s="61">
        <f>SUM(February!AF44,February!AF45,February!AF49,February!AF50,February!AF54,February!AF55)</f>
        <v>0</v>
      </c>
      <c r="AF15" s="61">
        <f>SUM(February!AG44,February!AG45,February!AG49,February!AG50,February!AG54,February!AG55)</f>
        <v>0</v>
      </c>
      <c r="AG15" s="62">
        <f t="shared" si="0"/>
        <v>0</v>
      </c>
      <c r="AH15" s="45"/>
      <c r="AI15" s="76" t="s">
        <v>68</v>
      </c>
      <c r="AJ15" s="64" t="s">
        <v>69</v>
      </c>
      <c r="AK15" s="65"/>
      <c r="AL15" s="66"/>
      <c r="AM15" s="67">
        <f>SUM(February!AH24)</f>
        <v>0</v>
      </c>
      <c r="AN15" s="67">
        <f>SUM(February!AH25)</f>
        <v>0</v>
      </c>
      <c r="AO15" s="68">
        <f>SUM(February!AH24,February!AH25)</f>
        <v>0</v>
      </c>
      <c r="AP15" s="69">
        <f>SUM(AO15,AO16,AO17,AO18)</f>
        <v>0</v>
      </c>
    </row>
    <row r="16" ht="30" customHeight="1" spans="1:42" x14ac:dyDescent="0.25">
      <c r="A16" s="60" t="s">
        <v>70</v>
      </c>
      <c r="B16" s="61">
        <f>SUM(February!C59,February!C60,February!C64,February!C65,February!C69,February!C70,February!C74,February!C75,February!C79,February!C80)</f>
        <v>0</v>
      </c>
      <c r="C16" s="61">
        <f>SUM(February!D59,February!D60,February!D64,February!D65,February!D69,February!D70,February!D74,February!D75,February!D79,February!D80)</f>
        <v>0</v>
      </c>
      <c r="D16" s="61">
        <f>SUM(February!E59,February!E60,February!E64,February!E65,February!E69,February!E70,February!E74,February!E75,February!E79,February!E80)</f>
        <v>0</v>
      </c>
      <c r="E16" s="61">
        <f>SUM(February!F59,February!F60,February!F64,February!F65,February!F69,February!F70,February!F74,February!F75,February!F79,February!F80)</f>
        <v>0</v>
      </c>
      <c r="F16" s="61">
        <f>SUM(February!G59,February!G60,February!G64,February!G65,February!G69,February!G70,February!G74,February!G75,February!G79,February!G80)</f>
        <v>0</v>
      </c>
      <c r="G16" s="61">
        <f>SUM(February!H59,February!H60,February!H64,February!H65,February!H69,February!H70,February!H74,February!H75,February!H79,February!H80)</f>
        <v>0</v>
      </c>
      <c r="H16" s="61">
        <f>SUM(February!I59,February!I60,February!I64,February!I65,February!I69,February!I70,February!I74,February!I75,February!I79,February!I80)</f>
        <v>0</v>
      </c>
      <c r="I16" s="61">
        <f>SUM(February!J59,February!J60,February!J64,February!J65,February!J69,February!J70,February!J74,February!J75,February!J79,February!J80)</f>
        <v>0</v>
      </c>
      <c r="J16" s="61">
        <f>SUM(February!K59,February!K60,February!K64,February!K65,February!K69,February!K70,February!K74,February!K75,February!K79,February!K80)</f>
        <v>0</v>
      </c>
      <c r="K16" s="61">
        <f>SUM(February!L59,February!L60,February!L64,February!L65,February!L69,February!L70,February!L74,February!L75,February!L79,February!L80)</f>
        <v>0</v>
      </c>
      <c r="L16" s="61">
        <f>SUM(February!M59,February!M60,February!M64,February!M65,February!M69,February!M70,February!M74,February!M75,February!M79,February!M80)</f>
        <v>0</v>
      </c>
      <c r="M16" s="61">
        <f>SUM(February!N59,February!N60,February!N64,February!N65,February!N69,February!N70,February!N74,February!N75,February!N79,February!N80)</f>
        <v>0</v>
      </c>
      <c r="N16" s="61">
        <f>SUM(February!O59,February!O60,February!O64,February!O65,February!O69,February!O70,February!O74,February!O75,February!O79,February!O80)</f>
        <v>0</v>
      </c>
      <c r="O16" s="61">
        <f>SUM(February!P59,February!P60,February!P64,February!P65,February!P69,February!P70,February!P74,February!P75,February!P79,February!P80)</f>
        <v>0</v>
      </c>
      <c r="P16" s="61">
        <f>SUM(February!Q59,February!Q60,February!Q64,February!Q65,February!Q69,February!Q70,February!Q74,February!Q75,February!Q79,February!Q80)</f>
        <v>0</v>
      </c>
      <c r="Q16" s="61">
        <f>SUM(February!R59,February!R60,February!R64,February!R65,February!R69,February!R70,February!R74,February!R75,February!R79,February!R80)</f>
        <v>0</v>
      </c>
      <c r="R16" s="61">
        <f>SUM(February!S59,February!S60,February!S64,February!S65,February!S69,February!S70,February!S74,February!S75,February!S79,February!S80)</f>
        <v>0</v>
      </c>
      <c r="S16" s="61">
        <f>SUM(February!T59,February!T60,February!T64,February!T65,February!T69,February!T70,February!T74,February!T75,February!T79,February!T80)</f>
        <v>0</v>
      </c>
      <c r="T16" s="61">
        <f>SUM(February!U59,February!U60,February!U64,February!U65,February!U69,February!U70,February!U74,February!U75,February!U79,February!U80)</f>
        <v>0</v>
      </c>
      <c r="U16" s="61">
        <f>SUM(February!V59,February!V60,February!V64,February!V65,February!V69,February!V70,February!V74,February!V75,February!V79,February!V80)</f>
        <v>0</v>
      </c>
      <c r="V16" s="61">
        <f>SUM(February!W59,February!W60,February!W64,February!W65,February!W69,February!W70,February!W74,February!W75,February!W79,February!W80)</f>
        <v>0</v>
      </c>
      <c r="W16" s="61">
        <f>SUM(February!X59,February!X60,February!X64,February!X65,February!X69,February!X70,February!X74,February!X75,February!X79,February!X80)</f>
        <v>0</v>
      </c>
      <c r="X16" s="61">
        <f>SUM(February!Y59,February!Y60,February!Y64,February!Y65,February!Y69,February!Y70,February!Y74,February!Y75,February!Y79,February!Y80)</f>
        <v>0</v>
      </c>
      <c r="Y16" s="61">
        <f>SUM(February!Z59,February!Z60,February!Z64,February!Z65,February!Z69,February!Z70,February!Z74,February!Z75,February!Z79,February!Z80)</f>
        <v>0</v>
      </c>
      <c r="Z16" s="61">
        <f>SUM(February!AA59,February!AA60,February!AA64,February!AA65,February!AA69,February!AA70,February!AA74,February!AA75,February!AA79,February!AA80)</f>
        <v>0</v>
      </c>
      <c r="AA16" s="61">
        <f>SUM(February!AB59,February!AB60,February!AB64,February!AB65,February!AB69,February!AB70,February!AB74,February!AB75,February!AB79,February!AB80)</f>
        <v>0</v>
      </c>
      <c r="AB16" s="61">
        <f>SUM(February!AC59,February!AC60,February!AC64,February!AC65,February!AC69,February!AC70,February!AC74,February!AC75,February!AC79,February!AC80)</f>
        <v>0</v>
      </c>
      <c r="AC16" s="61">
        <f>SUM(February!AD59,February!AD60,February!AD64,February!AD65,February!AD69,February!AD70,February!AD74,February!AD75,February!AD79,February!AD80)</f>
        <v>0</v>
      </c>
      <c r="AD16" s="61">
        <f>SUM(February!AE59,February!AE60,February!AE64,February!AE65,February!AE69,February!AE70,February!AE74,February!AE75,February!AE79,February!AE80)</f>
        <v>0</v>
      </c>
      <c r="AE16" s="61">
        <f>SUM(February!AF59,February!AF60,February!AF64,February!AF65,February!AF69,February!AF70,February!AF74,February!AF75,February!AF79,February!AF80)</f>
        <v>0</v>
      </c>
      <c r="AF16" s="61">
        <f>SUM(February!AG59,February!AG60,February!AG64,February!AG65,February!AG69,February!AG70,February!AG74,February!AG75,February!AG79,February!AG80)</f>
        <v>0</v>
      </c>
      <c r="AG16" s="62">
        <f t="shared" si="0"/>
        <v>0</v>
      </c>
      <c r="AH16" s="45"/>
      <c r="AI16" s="77"/>
      <c r="AJ16" s="78" t="s">
        <v>71</v>
      </c>
      <c r="AK16" s="9"/>
      <c r="AL16" s="10"/>
      <c r="AM16" s="79">
        <f>SUM(February!AH29)</f>
        <v>0</v>
      </c>
      <c r="AN16" s="79">
        <f>SUM(February!AH30)</f>
        <v>0</v>
      </c>
      <c r="AO16" s="80">
        <f>SUM(February!AH29,February!AH30)</f>
        <v>0</v>
      </c>
      <c r="AP16" s="77"/>
    </row>
    <row r="17" ht="30" customHeight="1" spans="1:42" x14ac:dyDescent="0.25">
      <c r="A17" s="60" t="s">
        <v>72</v>
      </c>
      <c r="B17" s="61">
        <f>SUM(February!C84,February!C85,February!C89,February!C90,February!C94,February!C95)</f>
        <v>0</v>
      </c>
      <c r="C17" s="61">
        <f>SUM(February!D84,February!D85,February!D89,February!D90,February!D94,February!D95)</f>
        <v>0</v>
      </c>
      <c r="D17" s="61">
        <f>SUM(February!E84,February!E85,February!E89,February!E90,February!E94,February!E95)</f>
        <v>0</v>
      </c>
      <c r="E17" s="61">
        <f>SUM(February!F84,February!F85,February!F89,February!F90,February!F94,February!F95)</f>
        <v>0</v>
      </c>
      <c r="F17" s="61">
        <f>SUM(February!G84,February!G85,February!G89,February!G90,February!G94,February!G95)</f>
        <v>0</v>
      </c>
      <c r="G17" s="61">
        <f>SUM(February!H84,February!H85,February!H89,February!H90,February!H94,February!H95)</f>
        <v>0</v>
      </c>
      <c r="H17" s="61">
        <f>SUM(February!I84,February!I85,February!I89,February!I90,February!I94,February!I95)</f>
        <v>0</v>
      </c>
      <c r="I17" s="61">
        <f>SUM(February!J84,February!J85,February!J89,February!J90,February!J94,February!J95)</f>
        <v>0</v>
      </c>
      <c r="J17" s="61">
        <f>SUM(February!K84,February!K85,February!K89,February!K90,February!K94,February!K95)</f>
        <v>0</v>
      </c>
      <c r="K17" s="61">
        <f>SUM(February!L84,February!L85,February!L89,February!L90,February!L94,February!L95)</f>
        <v>0</v>
      </c>
      <c r="L17" s="61">
        <f>SUM(February!M84,February!M85,February!M89,February!M90,February!M94,February!M95)</f>
        <v>0</v>
      </c>
      <c r="M17" s="61">
        <f>SUM(February!N84,February!N85,February!N89,February!N90,February!N94,February!N95)</f>
        <v>0</v>
      </c>
      <c r="N17" s="61">
        <f>SUM(February!O84,February!O85,February!O89,February!O90,February!O94,February!O95)</f>
        <v>0</v>
      </c>
      <c r="O17" s="61">
        <f>SUM(February!P84,February!P85,February!P89,February!P90,February!P94,February!P95)</f>
        <v>0</v>
      </c>
      <c r="P17" s="61">
        <f>SUM(February!Q84,February!Q85,February!Q89,February!Q90,February!Q94,February!Q95)</f>
        <v>0</v>
      </c>
      <c r="Q17" s="61">
        <f>SUM(February!R84,February!R85,February!R89,February!R90,February!R94,February!R95)</f>
        <v>0</v>
      </c>
      <c r="R17" s="61">
        <f>SUM(February!S84,February!S85,February!S89,February!S90,February!S94,February!S95)</f>
        <v>0</v>
      </c>
      <c r="S17" s="61">
        <f>SUM(February!T84,February!T85,February!T89,February!T90,February!T94,February!T95)</f>
        <v>0</v>
      </c>
      <c r="T17" s="61">
        <f>SUM(February!U84,February!U85,February!U89,February!U90,February!U94,February!U95)</f>
        <v>0</v>
      </c>
      <c r="U17" s="61">
        <f>SUM(February!V84,February!V85,February!V89,February!V90,February!V94,February!V95)</f>
        <v>0</v>
      </c>
      <c r="V17" s="61">
        <f>SUM(February!W84,February!W85,February!W89,February!W90,February!W94,February!W95)</f>
        <v>0</v>
      </c>
      <c r="W17" s="61">
        <f>SUM(February!X84,February!X85,February!X89,February!X90,February!X94,February!X95)</f>
        <v>0</v>
      </c>
      <c r="X17" s="61">
        <f>SUM(February!Y84,February!Y85,February!Y89,February!Y90,February!Y94,February!Y95)</f>
        <v>0</v>
      </c>
      <c r="Y17" s="61">
        <f>SUM(February!Z84,February!Z85,February!Z89,February!Z90,February!Z94,February!Z95)</f>
        <v>0</v>
      </c>
      <c r="Z17" s="61">
        <f>SUM(February!AA84,February!AA85,February!AA89,February!AA90,February!AA94,February!AA95)</f>
        <v>0</v>
      </c>
      <c r="AA17" s="61">
        <f>SUM(February!AB84,February!AB85,February!AB89,February!AB90,February!AB94,February!AB95)</f>
        <v>0</v>
      </c>
      <c r="AB17" s="61">
        <f>SUM(February!AC84,February!AC85,February!AC89,February!AC90,February!AC94,February!AC95)</f>
        <v>0</v>
      </c>
      <c r="AC17" s="61">
        <f>SUM(February!AD84,February!AD85,February!AD89,February!AD90,February!AD94,February!AD95)</f>
        <v>0</v>
      </c>
      <c r="AD17" s="61">
        <f>SUM(February!AE84,February!AE85,February!AE89,February!AE90,February!AE94,February!AE95)</f>
        <v>0</v>
      </c>
      <c r="AE17" s="61">
        <f>SUM(February!AF84,February!AF85,February!AF89,February!AF90,February!AF94,February!AF95)</f>
        <v>0</v>
      </c>
      <c r="AF17" s="61">
        <f>SUM(February!AG84,February!AG85,February!AG89,February!AG90,February!AG94,February!AG95)</f>
        <v>0</v>
      </c>
      <c r="AG17" s="62">
        <f t="shared" si="0"/>
        <v>0</v>
      </c>
      <c r="AH17" s="45"/>
      <c r="AI17" s="77"/>
      <c r="AJ17" s="78" t="s">
        <v>73</v>
      </c>
      <c r="AK17" s="9"/>
      <c r="AL17" s="10"/>
      <c r="AM17" s="79">
        <f>SUM(February!AH34)</f>
        <v>0</v>
      </c>
      <c r="AN17" s="79">
        <f>SUM(February!AH35)</f>
        <v>0</v>
      </c>
      <c r="AO17" s="80">
        <f>SUM(February!AH34,February!AH35)</f>
        <v>0</v>
      </c>
      <c r="AP17" s="77"/>
    </row>
    <row r="18" ht="30" customHeight="1" spans="1:42" x14ac:dyDescent="0.25">
      <c r="A18" s="60" t="s">
        <v>74</v>
      </c>
      <c r="B18" s="61">
        <f>SUM(February!C100,February!C101)</f>
        <v>0</v>
      </c>
      <c r="C18" s="61">
        <f>SUM(February!D100,February!D101)</f>
        <v>0</v>
      </c>
      <c r="D18" s="61">
        <f>SUM(February!E100,February!E101)</f>
        <v>0</v>
      </c>
      <c r="E18" s="61">
        <f>SUM(February!F100,February!F101)</f>
        <v>0</v>
      </c>
      <c r="F18" s="61">
        <f>SUM(February!G100,February!G101)</f>
        <v>0</v>
      </c>
      <c r="G18" s="61">
        <f>SUM(February!H100,February!H101)</f>
        <v>0</v>
      </c>
      <c r="H18" s="61">
        <f>SUM(February!I100,February!I101)</f>
        <v>0</v>
      </c>
      <c r="I18" s="61">
        <f>SUM(February!J100,February!J101)</f>
        <v>0</v>
      </c>
      <c r="J18" s="61">
        <f>SUM(February!K100,February!K101)</f>
        <v>0</v>
      </c>
      <c r="K18" s="61">
        <f>SUM(February!L100,February!L101)</f>
        <v>0</v>
      </c>
      <c r="L18" s="61">
        <f>SUM(February!M100,February!M101)</f>
        <v>0</v>
      </c>
      <c r="M18" s="61">
        <f>SUM(February!N100,February!N101)</f>
        <v>0</v>
      </c>
      <c r="N18" s="61">
        <f>SUM(February!O100,February!O101)</f>
        <v>0</v>
      </c>
      <c r="O18" s="61">
        <f>SUM(February!P100,February!P101)</f>
        <v>0</v>
      </c>
      <c r="P18" s="61">
        <f>SUM(February!Q100,February!Q101)</f>
        <v>0</v>
      </c>
      <c r="Q18" s="61">
        <f>SUM(February!R100,February!R101)</f>
        <v>0</v>
      </c>
      <c r="R18" s="61">
        <f>SUM(February!S100,February!S101)</f>
        <v>0</v>
      </c>
      <c r="S18" s="61">
        <f>SUM(February!T100,February!T101)</f>
        <v>0</v>
      </c>
      <c r="T18" s="61">
        <f>SUM(February!U100,February!U101)</f>
        <v>0</v>
      </c>
      <c r="U18" s="61">
        <f>SUM(February!V100,February!V101)</f>
        <v>0</v>
      </c>
      <c r="V18" s="61">
        <f>SUM(February!W100,February!W101)</f>
        <v>0</v>
      </c>
      <c r="W18" s="61">
        <f>SUM(February!X100,February!X101)</f>
        <v>0</v>
      </c>
      <c r="X18" s="61">
        <f>SUM(February!Y100,February!Y101)</f>
        <v>0</v>
      </c>
      <c r="Y18" s="61">
        <f>SUM(February!Z100,February!Z101)</f>
        <v>0</v>
      </c>
      <c r="Z18" s="61">
        <f>SUM(February!AA100,February!AA101)</f>
        <v>0</v>
      </c>
      <c r="AA18" s="61">
        <f>SUM(February!AB100,February!AB101)</f>
        <v>0</v>
      </c>
      <c r="AB18" s="61">
        <f>SUM(February!AC100,February!AC101)</f>
        <v>0</v>
      </c>
      <c r="AC18" s="61">
        <f>SUM(February!AD100,February!AD101)</f>
        <v>0</v>
      </c>
      <c r="AD18" s="61">
        <f>SUM(February!AE100,February!AE101)</f>
        <v>0</v>
      </c>
      <c r="AE18" s="61">
        <f>SUM(February!AF100,February!AF101)</f>
        <v>0</v>
      </c>
      <c r="AF18" s="61">
        <f>SUM(February!AG100,February!AG101)</f>
        <v>0</v>
      </c>
      <c r="AG18" s="62">
        <f t="shared" si="0"/>
        <v>0</v>
      </c>
      <c r="AH18" s="45"/>
      <c r="AI18" s="70"/>
      <c r="AJ18" s="71" t="s">
        <v>75</v>
      </c>
      <c r="AK18" s="72"/>
      <c r="AL18" s="73"/>
      <c r="AM18" s="74">
        <f>SUM(February!AH39)</f>
        <v>0</v>
      </c>
      <c r="AN18" s="74">
        <f>SUM(February!AH40)</f>
        <v>0</v>
      </c>
      <c r="AO18" s="75">
        <f>SUM(February!AH39,February!AH40)</f>
        <v>0</v>
      </c>
      <c r="AP18" s="70"/>
    </row>
    <row r="19" ht="30" customHeight="1" spans="1:42" x14ac:dyDescent="0.25">
      <c r="A19" s="60" t="s">
        <v>76</v>
      </c>
      <c r="B19" s="61">
        <f>SUM(February!C105,February!C106)</f>
        <v>0</v>
      </c>
      <c r="C19" s="61">
        <f>SUM(February!D105,February!D106)</f>
        <v>0</v>
      </c>
      <c r="D19" s="61">
        <f>SUM(February!E105,February!E106)</f>
        <v>0</v>
      </c>
      <c r="E19" s="61">
        <f>SUM(February!F105,February!F106)</f>
        <v>0</v>
      </c>
      <c r="F19" s="61">
        <f>SUM(February!G105,February!G106)</f>
        <v>0</v>
      </c>
      <c r="G19" s="61">
        <f>SUM(February!H105,February!H106)</f>
        <v>0</v>
      </c>
      <c r="H19" s="61">
        <f>SUM(February!I105,February!I106)</f>
        <v>0</v>
      </c>
      <c r="I19" s="61">
        <f>SUM(February!J105,February!J106)</f>
        <v>0</v>
      </c>
      <c r="J19" s="61">
        <f>SUM(February!K105,February!K106)</f>
        <v>0</v>
      </c>
      <c r="K19" s="61">
        <f>SUM(February!L105,February!L106)</f>
        <v>0</v>
      </c>
      <c r="L19" s="61">
        <f>SUM(February!M105,February!M106)</f>
        <v>0</v>
      </c>
      <c r="M19" s="61">
        <f>SUM(February!N105,February!N106)</f>
        <v>0</v>
      </c>
      <c r="N19" s="61">
        <f>SUM(February!O105,February!O106)</f>
        <v>0</v>
      </c>
      <c r="O19" s="61">
        <f>SUM(February!P105,February!P106)</f>
        <v>0</v>
      </c>
      <c r="P19" s="61">
        <f>SUM(February!Q105,February!Q106)</f>
        <v>0</v>
      </c>
      <c r="Q19" s="61">
        <f>SUM(February!R105,February!R106)</f>
        <v>0</v>
      </c>
      <c r="R19" s="61">
        <f>SUM(February!S105,February!S106)</f>
        <v>0</v>
      </c>
      <c r="S19" s="61">
        <f>SUM(February!T105,February!T106)</f>
        <v>0</v>
      </c>
      <c r="T19" s="61">
        <f>SUM(February!U105,February!U106)</f>
        <v>0</v>
      </c>
      <c r="U19" s="61">
        <f>SUM(February!V105,February!V106)</f>
        <v>0</v>
      </c>
      <c r="V19" s="61">
        <f>SUM(February!W105,February!W106)</f>
        <v>0</v>
      </c>
      <c r="W19" s="61">
        <f>SUM(February!X105,February!X106)</f>
        <v>0</v>
      </c>
      <c r="X19" s="61">
        <f>SUM(February!Y105,February!Y106)</f>
        <v>0</v>
      </c>
      <c r="Y19" s="61">
        <f>SUM(February!Z105,February!Z106)</f>
        <v>0</v>
      </c>
      <c r="Z19" s="61">
        <f>SUM(February!AA105,February!AA106)</f>
        <v>0</v>
      </c>
      <c r="AA19" s="61">
        <f>SUM(February!AB105,February!AB106)</f>
        <v>0</v>
      </c>
      <c r="AB19" s="61">
        <f>SUM(February!AC105,February!AC106)</f>
        <v>0</v>
      </c>
      <c r="AC19" s="61">
        <f>SUM(February!AD105,February!AD106)</f>
        <v>0</v>
      </c>
      <c r="AD19" s="61">
        <f>SUM(February!AE105,February!AE106)</f>
        <v>0</v>
      </c>
      <c r="AE19" s="61">
        <f>SUM(February!AF105,February!AF106)</f>
        <v>0</v>
      </c>
      <c r="AF19" s="61">
        <f>SUM(February!AG105,February!AG106)</f>
        <v>0</v>
      </c>
      <c r="AG19" s="62">
        <f t="shared" si="0"/>
        <v>0</v>
      </c>
      <c r="AH19" s="45"/>
      <c r="AI19" s="81" t="s">
        <v>77</v>
      </c>
      <c r="AJ19" s="64" t="s">
        <v>78</v>
      </c>
      <c r="AK19" s="65"/>
      <c r="AL19" s="66"/>
      <c r="AM19" s="67">
        <f>SUM(February!AH44)</f>
        <v>0</v>
      </c>
      <c r="AN19" s="67">
        <f>SUM(February!AH45)</f>
        <v>0</v>
      </c>
      <c r="AO19" s="68">
        <f>SUM(February!AH44,February!AH45)</f>
        <v>0</v>
      </c>
      <c r="AP19" s="69">
        <f>SUM(AO19,AO20,AO21)</f>
        <v>0</v>
      </c>
    </row>
    <row r="20" ht="30" customHeight="1" spans="1:42" x14ac:dyDescent="0.25">
      <c r="A20" s="82" t="s">
        <v>79</v>
      </c>
      <c r="B20" s="83">
        <f t="shared" ref="B20:AF20" si="1">SUM(B13:B19)</f>
        <v>0</v>
      </c>
      <c r="C20" s="83">
        <f t="shared" si="1"/>
        <v>0</v>
      </c>
      <c r="D20" s="83">
        <f t="shared" si="1"/>
        <v>0</v>
      </c>
      <c r="E20" s="83">
        <f t="shared" si="1"/>
        <v>0</v>
      </c>
      <c r="F20" s="83">
        <f t="shared" si="1"/>
        <v>0</v>
      </c>
      <c r="G20" s="83">
        <f t="shared" si="1"/>
        <v>0</v>
      </c>
      <c r="H20" s="83">
        <f t="shared" si="1"/>
        <v>0</v>
      </c>
      <c r="I20" s="83">
        <f t="shared" si="1"/>
        <v>0</v>
      </c>
      <c r="J20" s="83">
        <f t="shared" si="1"/>
        <v>0</v>
      </c>
      <c r="K20" s="83">
        <f t="shared" si="1"/>
        <v>0</v>
      </c>
      <c r="L20" s="83">
        <f t="shared" si="1"/>
        <v>0</v>
      </c>
      <c r="M20" s="83">
        <f t="shared" si="1"/>
        <v>0</v>
      </c>
      <c r="N20" s="83">
        <f t="shared" si="1"/>
        <v>0</v>
      </c>
      <c r="O20" s="83">
        <f t="shared" si="1"/>
        <v>0</v>
      </c>
      <c r="P20" s="83">
        <f t="shared" si="1"/>
        <v>0</v>
      </c>
      <c r="Q20" s="83">
        <f t="shared" si="1"/>
        <v>0</v>
      </c>
      <c r="R20" s="83">
        <f t="shared" si="1"/>
        <v>0</v>
      </c>
      <c r="S20" s="83">
        <f t="shared" si="1"/>
        <v>0</v>
      </c>
      <c r="T20" s="83">
        <f t="shared" si="1"/>
        <v>0</v>
      </c>
      <c r="U20" s="83">
        <f t="shared" si="1"/>
        <v>0</v>
      </c>
      <c r="V20" s="83">
        <f t="shared" si="1"/>
        <v>0</v>
      </c>
      <c r="W20" s="83">
        <f t="shared" si="1"/>
        <v>0</v>
      </c>
      <c r="X20" s="83">
        <f t="shared" si="1"/>
        <v>0</v>
      </c>
      <c r="Y20" s="83">
        <f t="shared" si="1"/>
        <v>0</v>
      </c>
      <c r="Z20" s="83">
        <f t="shared" si="1"/>
        <v>0</v>
      </c>
      <c r="AA20" s="83">
        <f t="shared" si="1"/>
        <v>0</v>
      </c>
      <c r="AB20" s="83">
        <f t="shared" si="1"/>
        <v>0</v>
      </c>
      <c r="AC20" s="83">
        <f t="shared" si="1"/>
        <v>0</v>
      </c>
      <c r="AD20" s="83">
        <f t="shared" si="1"/>
        <v>0</v>
      </c>
      <c r="AE20" s="83">
        <f t="shared" si="1"/>
        <v>0</v>
      </c>
      <c r="AF20" s="83">
        <f t="shared" si="1"/>
        <v>0</v>
      </c>
      <c r="AG20" s="84">
        <f t="shared" si="0"/>
        <v>0</v>
      </c>
      <c r="AH20" s="45"/>
      <c r="AI20" s="77"/>
      <c r="AJ20" s="78" t="s">
        <v>80</v>
      </c>
      <c r="AK20" s="9"/>
      <c r="AL20" s="10"/>
      <c r="AM20" s="79">
        <f>SUM(February!AH49)</f>
        <v>0</v>
      </c>
      <c r="AN20" s="79">
        <f>SUM(February!AH50)</f>
        <v>0</v>
      </c>
      <c r="AO20" s="80">
        <f>SUM(February!AH49,February!AH50)</f>
        <v>0</v>
      </c>
      <c r="AP20" s="77"/>
    </row>
    <row r="21" ht="30" customHeight="1" spans="1:42" x14ac:dyDescent="0.25">
      <c r="A21" s="85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45"/>
      <c r="AI21" s="70"/>
      <c r="AJ21" s="71" t="s">
        <v>81</v>
      </c>
      <c r="AK21" s="72"/>
      <c r="AL21" s="73"/>
      <c r="AM21" s="74">
        <f>SUM(February!AH54)</f>
        <v>0</v>
      </c>
      <c r="AN21" s="74">
        <f>SUM(February!AH55)</f>
        <v>0</v>
      </c>
      <c r="AO21" s="75">
        <f>SUM(February!AH54,February!AH55)</f>
        <v>0</v>
      </c>
      <c r="AP21" s="70"/>
    </row>
    <row r="22" ht="30" customHeight="1" spans="1:42" x14ac:dyDescent="0.25">
      <c r="A22" s="38" t="s">
        <v>37</v>
      </c>
      <c r="B22" s="40"/>
      <c r="C22" s="40"/>
      <c r="D22" s="38"/>
      <c r="F22" s="87"/>
      <c r="G22" s="87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9"/>
      <c r="V22" s="89"/>
      <c r="W22" s="89"/>
      <c r="X22" s="89"/>
      <c r="Y22" s="89"/>
      <c r="Z22" s="89"/>
      <c r="AA22" s="88"/>
      <c r="AB22" s="88"/>
      <c r="AC22" s="88"/>
      <c r="AD22" s="88"/>
      <c r="AE22" s="88"/>
      <c r="AF22" s="88"/>
      <c r="AG22" s="88"/>
      <c r="AH22" s="45"/>
      <c r="AI22" s="90" t="s">
        <v>82</v>
      </c>
      <c r="AJ22" s="64" t="s">
        <v>83</v>
      </c>
      <c r="AK22" s="65"/>
      <c r="AL22" s="66"/>
      <c r="AM22" s="67">
        <f>SUM(February!AH59)</f>
        <v>0</v>
      </c>
      <c r="AN22" s="67">
        <f>SUM(February!AH60)</f>
        <v>0</v>
      </c>
      <c r="AO22" s="68">
        <f>SUM(February!AH59,February!AH60)</f>
        <v>0</v>
      </c>
      <c r="AP22" s="69">
        <f>SUM(AO22,AO23,AO24,AO25,AO26)</f>
        <v>0</v>
      </c>
    </row>
    <row r="23" ht="30" customHeight="1" spans="1:42" x14ac:dyDescent="0.25">
      <c r="A23" s="40"/>
      <c r="B23" s="40"/>
      <c r="C23" s="40"/>
      <c r="D23" s="38"/>
      <c r="E23" s="87"/>
      <c r="F23" s="87"/>
      <c r="G23" s="87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9"/>
      <c r="V23" s="89"/>
      <c r="W23" s="89"/>
      <c r="X23" s="89"/>
      <c r="Y23" s="89"/>
      <c r="Z23" s="89"/>
      <c r="AA23" s="88"/>
      <c r="AB23" s="88"/>
      <c r="AC23" s="88"/>
      <c r="AD23" s="88"/>
      <c r="AE23" s="88"/>
      <c r="AF23" s="88"/>
      <c r="AG23" s="88"/>
      <c r="AH23" s="45"/>
      <c r="AI23" s="77"/>
      <c r="AJ23" s="78" t="s">
        <v>84</v>
      </c>
      <c r="AK23" s="9"/>
      <c r="AL23" s="10"/>
      <c r="AM23" s="79">
        <f>SUM(February!AH64)</f>
        <v>0</v>
      </c>
      <c r="AN23" s="79">
        <f>SUM(February!AH65)</f>
        <v>0</v>
      </c>
      <c r="AO23" s="80">
        <f>SUM(February!AH64,February!AH65)</f>
        <v>0</v>
      </c>
      <c r="AP23" s="77"/>
    </row>
    <row r="24" ht="30" customHeight="1" spans="1:42" x14ac:dyDescent="0.25">
      <c r="A24" s="42" t="s">
        <v>85</v>
      </c>
      <c r="B24" s="3"/>
      <c r="C24" s="3"/>
      <c r="D24" s="38"/>
      <c r="E24" s="87"/>
      <c r="F24" s="87"/>
      <c r="G24" s="87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9"/>
      <c r="V24" s="89"/>
      <c r="W24" s="89"/>
      <c r="X24" s="89"/>
      <c r="Y24" s="89"/>
      <c r="Z24" s="89"/>
      <c r="AA24" s="88"/>
      <c r="AB24" s="88"/>
      <c r="AC24" s="88"/>
      <c r="AD24" s="88"/>
      <c r="AE24" s="88"/>
      <c r="AF24" s="88"/>
      <c r="AG24" s="88"/>
      <c r="AH24" s="45"/>
      <c r="AI24" s="77"/>
      <c r="AJ24" s="78" t="s">
        <v>86</v>
      </c>
      <c r="AK24" s="9"/>
      <c r="AL24" s="10"/>
      <c r="AM24" s="79">
        <f>SUM(February!AH69)</f>
        <v>0</v>
      </c>
      <c r="AN24" s="79">
        <f>SUM(February!AH70)</f>
        <v>0</v>
      </c>
      <c r="AO24" s="80">
        <f>SUM(February!AH69,February!AH70)</f>
        <v>0</v>
      </c>
      <c r="AP24" s="77"/>
    </row>
    <row r="25" ht="30" customHeight="1" spans="1:42" x14ac:dyDescent="0.25">
      <c r="A25" s="44" t="s">
        <v>87</v>
      </c>
      <c r="B25" s="3"/>
      <c r="C25" s="44"/>
      <c r="D25" s="38"/>
      <c r="E25" s="87"/>
      <c r="F25" s="87"/>
      <c r="G25" s="87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9"/>
      <c r="V25" s="89"/>
      <c r="W25" s="89"/>
      <c r="X25" s="89"/>
      <c r="Y25" s="89"/>
      <c r="Z25" s="89"/>
      <c r="AA25" s="88"/>
      <c r="AB25" s="88"/>
      <c r="AC25" s="88"/>
      <c r="AD25" s="88"/>
      <c r="AE25" s="88"/>
      <c r="AF25" s="88"/>
      <c r="AG25" s="88"/>
      <c r="AH25" s="45"/>
      <c r="AI25" s="77"/>
      <c r="AJ25" s="78" t="s">
        <v>88</v>
      </c>
      <c r="AK25" s="9"/>
      <c r="AL25" s="10"/>
      <c r="AM25" s="79">
        <f>SUM(February!AH74)</f>
        <v>0</v>
      </c>
      <c r="AN25" s="79">
        <f>SUM(February!AH75)</f>
        <v>0</v>
      </c>
      <c r="AO25" s="80">
        <f>SUM(February!AH74,February!AH75)</f>
        <v>0</v>
      </c>
      <c r="AP25" s="77"/>
    </row>
    <row r="26" ht="30" customHeight="1" spans="1:42" x14ac:dyDescent="0.25">
      <c r="A26" s="44"/>
      <c r="B26" s="44"/>
      <c r="C26" s="44"/>
      <c r="D26" s="38"/>
      <c r="E26" s="87"/>
      <c r="F26" s="87"/>
      <c r="G26" s="87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9"/>
      <c r="V26" s="89"/>
      <c r="W26" s="89"/>
      <c r="X26" s="89"/>
      <c r="Y26" s="89"/>
      <c r="Z26" s="89"/>
      <c r="AA26" s="88"/>
      <c r="AB26" s="88"/>
      <c r="AC26" s="88"/>
      <c r="AD26" s="88"/>
      <c r="AE26" s="88"/>
      <c r="AF26" s="88"/>
      <c r="AG26" s="88"/>
      <c r="AH26" s="45"/>
      <c r="AI26" s="70"/>
      <c r="AJ26" s="71" t="s">
        <v>89</v>
      </c>
      <c r="AK26" s="72"/>
      <c r="AL26" s="73"/>
      <c r="AM26" s="74">
        <f>SUM(February!AH79)</f>
        <v>0</v>
      </c>
      <c r="AN26" s="74">
        <f>SUM(February!AH80)</f>
        <v>0</v>
      </c>
      <c r="AO26" s="75">
        <f>SUM(February!AH79,February!AH80)</f>
        <v>0</v>
      </c>
      <c r="AP26" s="70"/>
    </row>
    <row r="27" ht="30" customHeight="1" spans="1:42" x14ac:dyDescent="0.25">
      <c r="A27" s="38" t="s">
        <v>38</v>
      </c>
      <c r="B27" s="40"/>
      <c r="C27" s="40"/>
      <c r="D27" s="40"/>
      <c r="E27" s="40"/>
      <c r="F27" s="91"/>
      <c r="G27" s="87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9"/>
      <c r="V27" s="89"/>
      <c r="W27" s="89"/>
      <c r="X27" s="89"/>
      <c r="Y27" s="89"/>
      <c r="Z27" s="89"/>
      <c r="AA27" s="88"/>
      <c r="AB27" s="88"/>
      <c r="AC27" s="88"/>
      <c r="AD27" s="88"/>
      <c r="AE27" s="88"/>
      <c r="AF27" s="88"/>
      <c r="AG27" s="88"/>
      <c r="AH27" s="45"/>
      <c r="AI27" s="92" t="s">
        <v>90</v>
      </c>
      <c r="AJ27" s="64" t="s">
        <v>91</v>
      </c>
      <c r="AK27" s="65"/>
      <c r="AL27" s="66"/>
      <c r="AM27" s="67">
        <f>SUM(February!AH84)</f>
        <v>0</v>
      </c>
      <c r="AN27" s="67">
        <f>SUM(February!AH85)</f>
        <v>0</v>
      </c>
      <c r="AO27" s="68">
        <f>SUM(February!AH84,February!AH85)</f>
        <v>0</v>
      </c>
      <c r="AP27" s="69">
        <f>SUM(AO27,AO28,AO29)</f>
        <v>0</v>
      </c>
    </row>
    <row r="28" ht="30" customHeight="1" spans="1:42" x14ac:dyDescent="0.25">
      <c r="A28" s="40"/>
      <c r="B28" s="40"/>
      <c r="C28" s="40"/>
      <c r="D28" s="40"/>
      <c r="E28" s="40"/>
      <c r="F28" s="91"/>
      <c r="G28" s="87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9"/>
      <c r="V28" s="89"/>
      <c r="W28" s="89"/>
      <c r="X28" s="89"/>
      <c r="Y28" s="89"/>
      <c r="Z28" s="89"/>
      <c r="AA28" s="88"/>
      <c r="AB28" s="88"/>
      <c r="AC28" s="88"/>
      <c r="AD28" s="88"/>
      <c r="AE28" s="88"/>
      <c r="AF28" s="88"/>
      <c r="AG28" s="88"/>
      <c r="AH28" s="45"/>
      <c r="AI28" s="77"/>
      <c r="AJ28" s="78" t="s">
        <v>92</v>
      </c>
      <c r="AK28" s="9"/>
      <c r="AL28" s="10"/>
      <c r="AM28" s="79">
        <f>SUM(February!AH89)</f>
        <v>0</v>
      </c>
      <c r="AN28" s="79">
        <f>SUM(February!AH90)</f>
        <v>0</v>
      </c>
      <c r="AO28" s="80">
        <f>SUM(February!AH89,February!AH90)</f>
        <v>0</v>
      </c>
      <c r="AP28" s="77"/>
    </row>
    <row r="29" ht="30" customHeight="1" spans="1:42" x14ac:dyDescent="0.25">
      <c r="A29" s="42" t="s">
        <v>41</v>
      </c>
      <c r="B29" s="3"/>
      <c r="C29" s="3"/>
      <c r="D29" s="3"/>
      <c r="E29" s="3"/>
      <c r="F29" s="3"/>
      <c r="G29" s="93"/>
      <c r="H29" s="94"/>
      <c r="I29" s="94"/>
      <c r="J29" s="94"/>
      <c r="K29" s="94"/>
      <c r="L29" s="94"/>
      <c r="M29" s="88"/>
      <c r="N29" s="88"/>
      <c r="O29" s="88"/>
      <c r="P29" s="88"/>
      <c r="Q29" s="88"/>
      <c r="R29" s="88"/>
      <c r="S29" s="88"/>
      <c r="T29" s="88"/>
      <c r="U29" s="89"/>
      <c r="V29" s="89"/>
      <c r="W29" s="89"/>
      <c r="X29" s="89"/>
      <c r="Y29" s="89"/>
      <c r="Z29" s="89"/>
      <c r="AA29" s="88"/>
      <c r="AB29" s="88"/>
      <c r="AC29" s="88"/>
      <c r="AD29" s="88"/>
      <c r="AE29" s="88"/>
      <c r="AF29" s="88"/>
      <c r="AG29" s="88"/>
      <c r="AH29" s="45"/>
      <c r="AI29" s="70"/>
      <c r="AJ29" s="71" t="s">
        <v>93</v>
      </c>
      <c r="AK29" s="72"/>
      <c r="AL29" s="73"/>
      <c r="AM29" s="74">
        <f>SUM(February!AH94)</f>
        <v>0</v>
      </c>
      <c r="AN29" s="74">
        <f>SUM(February!AH95)</f>
        <v>0</v>
      </c>
      <c r="AO29" s="75">
        <f>SUM(February!AH94,February!AH95)</f>
        <v>0</v>
      </c>
      <c r="AP29" s="70"/>
    </row>
    <row r="30" ht="30" customHeight="1" spans="1:42" x14ac:dyDescent="0.25">
      <c r="A30" s="44" t="s">
        <v>94</v>
      </c>
      <c r="B30" s="3"/>
      <c r="C30" s="3"/>
      <c r="D30" s="3"/>
      <c r="E30" s="40"/>
      <c r="F30" s="91"/>
      <c r="G30" s="93"/>
      <c r="H30" s="94"/>
      <c r="I30" s="94"/>
      <c r="J30" s="94"/>
      <c r="K30" s="94"/>
      <c r="L30" s="94"/>
      <c r="M30" s="88"/>
      <c r="N30" s="88"/>
      <c r="O30" s="88"/>
      <c r="P30" s="88"/>
      <c r="Q30" s="88"/>
      <c r="R30" s="88"/>
      <c r="S30" s="88"/>
      <c r="T30" s="88"/>
      <c r="U30" s="89"/>
      <c r="V30" s="89"/>
      <c r="W30" s="89"/>
      <c r="X30" s="89"/>
      <c r="Y30" s="89"/>
      <c r="Z30" s="89"/>
      <c r="AA30" s="88"/>
      <c r="AB30" s="88"/>
      <c r="AC30" s="88"/>
      <c r="AD30" s="88"/>
      <c r="AE30" s="88"/>
      <c r="AF30" s="88"/>
      <c r="AG30" s="88"/>
      <c r="AH30" s="45"/>
      <c r="AI30" s="95" t="s">
        <v>95</v>
      </c>
      <c r="AJ30" s="64" t="s">
        <v>35</v>
      </c>
      <c r="AK30" s="65"/>
      <c r="AL30" s="66"/>
      <c r="AM30" s="67">
        <f>SUM(February!AH100)</f>
        <v>0</v>
      </c>
      <c r="AN30" s="67">
        <f>SUM(February!AH101)</f>
        <v>0</v>
      </c>
      <c r="AO30" s="68">
        <f>SUM(February!AH100,February!AH101)</f>
        <v>0</v>
      </c>
      <c r="AP30" s="69">
        <f>SUM(AO30,AO31)</f>
        <v>0</v>
      </c>
    </row>
    <row r="31" ht="30" customHeight="1" spans="1:42" x14ac:dyDescent="0.25">
      <c r="A31" s="40"/>
      <c r="B31" s="40"/>
      <c r="C31" s="40"/>
      <c r="D31" s="40"/>
      <c r="E31" s="40"/>
      <c r="F31" s="91"/>
      <c r="G31" s="42"/>
      <c r="H31" s="88"/>
      <c r="I31" s="96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96"/>
      <c r="AD31" s="89"/>
      <c r="AE31" s="89"/>
      <c r="AF31" s="89"/>
      <c r="AG31" s="89"/>
      <c r="AH31" s="45"/>
      <c r="AI31" s="77"/>
      <c r="AJ31" s="97" t="s">
        <v>36</v>
      </c>
      <c r="AK31" s="86"/>
      <c r="AL31" s="98"/>
      <c r="AM31" s="99">
        <f>SUM(February!AH105)</f>
        <v>0</v>
      </c>
      <c r="AN31" s="99">
        <f>SUM(February!AH106)</f>
        <v>0</v>
      </c>
      <c r="AO31" s="100">
        <f>SUM(February!AH105,February!AH106)</f>
        <v>0</v>
      </c>
      <c r="AP31" s="70"/>
    </row>
    <row r="32" ht="30" customHeight="1" spans="1:42" x14ac:dyDescent="0.25">
      <c r="A32" s="38" t="s">
        <v>39</v>
      </c>
      <c r="B32" s="40"/>
      <c r="C32" s="40"/>
      <c r="D32" s="40"/>
      <c r="E32" s="40"/>
      <c r="F32" s="91"/>
      <c r="G32" s="87"/>
      <c r="H32" s="88"/>
      <c r="I32" s="88"/>
      <c r="J32" s="88"/>
      <c r="K32" s="88"/>
      <c r="L32" s="88"/>
      <c r="M32" s="101"/>
      <c r="N32" s="101"/>
      <c r="O32" s="101"/>
      <c r="P32" s="101"/>
      <c r="Q32" s="101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45"/>
      <c r="AI32" s="70"/>
      <c r="AJ32" s="102" t="s">
        <v>4</v>
      </c>
      <c r="AK32" s="57"/>
      <c r="AL32" s="58"/>
      <c r="AM32" s="103">
        <f t="shared" ref="AM32:AO32" si="2">SUM(AM13:AM31)</f>
        <v>0</v>
      </c>
      <c r="AN32" s="103">
        <f t="shared" si="2"/>
        <v>0</v>
      </c>
      <c r="AO32" s="102">
        <f t="shared" si="2"/>
        <v>0</v>
      </c>
      <c r="AP32" s="58"/>
    </row>
    <row r="33" ht="30.75" customHeight="1" spans="1:42" x14ac:dyDescent="0.25">
      <c r="A33" s="40"/>
      <c r="B33" s="40"/>
      <c r="C33" s="40"/>
      <c r="D33" s="40"/>
      <c r="E33" s="40"/>
      <c r="F33" s="91"/>
      <c r="G33" s="87"/>
      <c r="H33" s="88"/>
      <c r="I33" s="88"/>
      <c r="J33" s="88"/>
      <c r="K33" s="88"/>
      <c r="L33" s="88"/>
      <c r="M33" s="101"/>
      <c r="N33" s="101"/>
      <c r="O33" s="101"/>
      <c r="P33" s="101"/>
      <c r="Q33" s="101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45"/>
      <c r="AI33" s="45"/>
      <c r="AJ33" s="104"/>
      <c r="AK33" s="104"/>
      <c r="AL33" s="104"/>
      <c r="AM33" s="104"/>
      <c r="AN33" s="104"/>
      <c r="AO33" s="104"/>
      <c r="AP33" s="104"/>
    </row>
    <row r="34" ht="30" customHeight="1" spans="1:42" x14ac:dyDescent="0.25">
      <c r="A34" s="42" t="s">
        <v>42</v>
      </c>
      <c r="B34" s="3"/>
      <c r="C34" s="3"/>
      <c r="D34" s="40"/>
      <c r="E34" s="40"/>
      <c r="F34" s="91"/>
      <c r="G34" s="87"/>
      <c r="H34" s="88"/>
      <c r="I34" s="88"/>
      <c r="J34" s="88"/>
      <c r="K34" s="88"/>
      <c r="L34" s="88"/>
      <c r="M34" s="101"/>
      <c r="N34" s="101"/>
      <c r="O34" s="101"/>
      <c r="P34" s="101"/>
      <c r="Q34" s="101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45"/>
      <c r="AI34" s="105" t="s">
        <v>96</v>
      </c>
      <c r="AJ34" s="65"/>
      <c r="AK34" s="65"/>
      <c r="AL34" s="65"/>
      <c r="AM34" s="65"/>
      <c r="AN34" s="106"/>
      <c r="AO34" s="104"/>
      <c r="AP34" s="104"/>
    </row>
    <row r="35" ht="30" customHeight="1" spans="1:42" x14ac:dyDescent="0.25">
      <c r="A35" s="44" t="s">
        <v>97</v>
      </c>
      <c r="B35" s="3"/>
      <c r="C35" s="3"/>
      <c r="D35" s="40"/>
      <c r="E35" s="40"/>
      <c r="F35" s="91"/>
      <c r="G35" s="87"/>
      <c r="H35" s="88"/>
      <c r="I35" s="88"/>
      <c r="J35" s="88"/>
      <c r="K35" s="88"/>
      <c r="L35" s="88"/>
      <c r="M35" s="101"/>
      <c r="N35" s="101"/>
      <c r="O35" s="101"/>
      <c r="P35" s="101"/>
      <c r="Q35" s="101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45"/>
      <c r="AI35" s="107" t="s">
        <v>98</v>
      </c>
      <c r="AJ35" s="9"/>
      <c r="AK35" s="9"/>
      <c r="AL35" s="10"/>
      <c r="AM35" s="108">
        <f>SUM(February!AH14,February!AH19,February!AH24,February!AH29,February!AH34,February!AH39,February!AH44,February!AH49,February!AH54,February!AH59,February!AH64,February!AH69,February!AH74,February!AH79,February!AH84,February!AH89,February!AH94,February!AH100,February!AH105)</f>
        <v>0</v>
      </c>
      <c r="AN35" s="109">
        <f>SUM(AM35,AM36)</f>
        <v>0</v>
      </c>
      <c r="AO35" s="93"/>
      <c r="AP35" s="93"/>
    </row>
    <row r="36" ht="30" customHeight="1" spans="1:42" x14ac:dyDescent="0.25">
      <c r="A36" s="44"/>
      <c r="B36" s="3"/>
      <c r="C36" s="3"/>
      <c r="D36" s="44"/>
      <c r="E36" s="44"/>
      <c r="F36" s="87"/>
      <c r="G36" s="87"/>
      <c r="H36" s="88"/>
      <c r="I36" s="88"/>
      <c r="J36" s="88"/>
      <c r="K36" s="88"/>
      <c r="L36" s="88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45"/>
      <c r="AI36" s="110" t="s">
        <v>99</v>
      </c>
      <c r="AJ36" s="72"/>
      <c r="AK36" s="72"/>
      <c r="AL36" s="73"/>
      <c r="AM36" s="111">
        <f>SUM(February!AH15,February!AH20,February!AH25,February!AH30,February!AH35,February!AH40,February!AH45,February!AH50,February!AH55,February!AH60,February!AH65,February!AH70,February!AH75,February!AH80,February!AH85,February!AH90,February!AH95,February!AH101,February!AH106)</f>
        <v>0</v>
      </c>
      <c r="AN36" s="112"/>
      <c r="AO36" s="93"/>
      <c r="AP36" s="93"/>
    </row>
    <row r="37" ht="30" customHeight="1" spans="1:42" x14ac:dyDescent="0.25">
      <c r="A37" s="44"/>
      <c r="B37" s="3"/>
      <c r="C37" s="3"/>
      <c r="D37" s="44"/>
      <c r="E37" s="44"/>
      <c r="F37" s="87"/>
      <c r="G37" s="87"/>
      <c r="H37" s="88"/>
      <c r="I37" s="88"/>
      <c r="J37" s="88"/>
      <c r="K37" s="88"/>
      <c r="L37" s="88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45"/>
      <c r="AI37" s="113"/>
      <c r="AJ37" s="113"/>
      <c r="AK37" s="113"/>
      <c r="AL37" s="113"/>
      <c r="AM37" s="113"/>
      <c r="AN37" s="113"/>
      <c r="AO37" s="45"/>
      <c r="AP37" s="45"/>
    </row>
    <row r="38" ht="30" customHeight="1" spans="1:42" x14ac:dyDescent="0.25">
      <c r="A38" s="44"/>
      <c r="B38" s="44"/>
      <c r="C38" s="44"/>
      <c r="D38" s="44"/>
      <c r="E38" s="44"/>
      <c r="F38" s="87"/>
      <c r="G38" s="87"/>
      <c r="H38" s="88"/>
      <c r="I38" s="88"/>
      <c r="J38" s="88"/>
      <c r="K38" s="88"/>
      <c r="L38" s="88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45"/>
      <c r="AI38" s="113"/>
      <c r="AJ38" s="113"/>
      <c r="AK38" s="113"/>
      <c r="AL38" s="113"/>
      <c r="AM38" s="113"/>
      <c r="AN38" s="113"/>
      <c r="AO38" s="45"/>
      <c r="AP38" s="45"/>
    </row>
    <row r="39" ht="30" customHeight="1" spans="1:42" x14ac:dyDescent="0.25">
      <c r="A39" s="42"/>
      <c r="B39" s="42"/>
      <c r="C39" s="42"/>
      <c r="D39" s="42"/>
      <c r="E39" s="42"/>
      <c r="F39" s="42"/>
      <c r="G39" s="42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42"/>
      <c r="AI39" s="113"/>
      <c r="AJ39" s="113"/>
      <c r="AK39" s="113"/>
      <c r="AL39" s="113"/>
      <c r="AM39" s="113"/>
      <c r="AN39" s="113"/>
      <c r="AO39" s="42"/>
      <c r="AP39" s="42"/>
    </row>
    <row r="40" ht="30" customHeight="1" spans="1:42" x14ac:dyDescent="0.25">
      <c r="A40" s="42"/>
      <c r="B40" s="42"/>
      <c r="C40" s="42"/>
      <c r="D40" s="42"/>
      <c r="E40" s="42"/>
      <c r="F40" s="42"/>
      <c r="G40" s="42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42"/>
      <c r="AI40" s="113"/>
      <c r="AJ40" s="113"/>
      <c r="AK40" s="113"/>
      <c r="AL40" s="113"/>
      <c r="AM40" s="113"/>
      <c r="AN40" s="113"/>
      <c r="AO40" s="42"/>
      <c r="AP40" s="42"/>
    </row>
    <row r="41" ht="15.75" customHeight="1" spans="1:42" x14ac:dyDescent="0.2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</row>
    <row r="42" ht="15.75" customHeight="1" spans="1:42" x14ac:dyDescent="0.2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</row>
    <row r="43" ht="15.75" customHeight="1" spans="1:42" x14ac:dyDescent="0.2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</row>
    <row r="44" ht="15.75" customHeight="1" spans="28:42" x14ac:dyDescent="0.25">
      <c r="AB44" s="93"/>
      <c r="AC44" s="93"/>
      <c r="AD44" s="93"/>
      <c r="AE44" s="93"/>
      <c r="AF44" s="93"/>
      <c r="AG44" s="93"/>
      <c r="AH44" s="45"/>
      <c r="AI44" s="45"/>
      <c r="AJ44" s="45"/>
      <c r="AK44" s="45"/>
      <c r="AL44" s="45"/>
      <c r="AM44" s="45"/>
      <c r="AN44" s="45"/>
      <c r="AO44" s="45"/>
      <c r="AP44" s="45"/>
    </row>
    <row r="45" ht="15.75" customHeight="1" spans="28:42" x14ac:dyDescent="0.25">
      <c r="AB45" s="93"/>
      <c r="AC45" s="93"/>
      <c r="AD45" s="93"/>
      <c r="AE45" s="93"/>
      <c r="AF45" s="93"/>
      <c r="AG45" s="93"/>
      <c r="AH45" s="45"/>
      <c r="AI45" s="45"/>
      <c r="AJ45" s="45"/>
      <c r="AK45" s="45"/>
      <c r="AL45" s="45"/>
      <c r="AM45" s="45"/>
      <c r="AN45" s="45"/>
      <c r="AO45" s="45"/>
      <c r="AP45" s="45"/>
    </row>
    <row r="46" ht="15.75" customHeight="1" spans="28:42" x14ac:dyDescent="0.25">
      <c r="AB46" s="93"/>
      <c r="AC46" s="93"/>
      <c r="AD46" s="93"/>
      <c r="AE46" s="93"/>
      <c r="AF46" s="93"/>
      <c r="AG46" s="93"/>
      <c r="AH46" s="45"/>
      <c r="AI46" s="45"/>
      <c r="AJ46" s="45"/>
      <c r="AK46" s="45"/>
      <c r="AL46" s="45"/>
      <c r="AM46" s="45"/>
      <c r="AN46" s="45"/>
      <c r="AO46" s="45"/>
      <c r="AP46" s="45"/>
    </row>
    <row r="47" ht="15.75" customHeight="1" spans="28:42" x14ac:dyDescent="0.25">
      <c r="AB47" s="93"/>
      <c r="AC47" s="93"/>
      <c r="AD47" s="93"/>
      <c r="AE47" s="93"/>
      <c r="AF47" s="93"/>
      <c r="AG47" s="93"/>
      <c r="AH47" s="45"/>
      <c r="AI47" s="45"/>
      <c r="AJ47" s="45"/>
      <c r="AK47" s="45"/>
      <c r="AL47" s="45"/>
      <c r="AM47" s="45"/>
      <c r="AN47" s="45"/>
      <c r="AO47" s="45"/>
      <c r="AP47" s="45"/>
    </row>
    <row r="48" ht="15.75" customHeight="1" spans="28:42" x14ac:dyDescent="0.25">
      <c r="AB48" s="93"/>
      <c r="AC48" s="93"/>
      <c r="AD48" s="93"/>
      <c r="AE48" s="93"/>
      <c r="AF48" s="93"/>
      <c r="AG48" s="93"/>
      <c r="AH48" s="45"/>
      <c r="AI48" s="45"/>
      <c r="AJ48" s="45"/>
      <c r="AK48" s="45"/>
      <c r="AL48" s="45"/>
      <c r="AM48" s="45"/>
      <c r="AN48" s="45"/>
      <c r="AO48" s="45"/>
      <c r="AP48" s="45"/>
    </row>
    <row r="49" ht="15.75" customHeight="1" spans="28:42" x14ac:dyDescent="0.25">
      <c r="AB49" s="93"/>
      <c r="AC49" s="93"/>
      <c r="AD49" s="93"/>
      <c r="AE49" s="93"/>
      <c r="AF49" s="93"/>
      <c r="AG49" s="93"/>
      <c r="AH49" s="45"/>
      <c r="AI49" s="45"/>
      <c r="AJ49" s="45"/>
      <c r="AK49" s="45"/>
      <c r="AL49" s="45"/>
      <c r="AM49" s="45"/>
      <c r="AN49" s="45"/>
      <c r="AO49" s="45"/>
      <c r="AP49" s="45"/>
    </row>
    <row r="50" ht="15.75" customHeight="1" spans="28:42" x14ac:dyDescent="0.25">
      <c r="AB50" s="93"/>
      <c r="AC50" s="93"/>
      <c r="AD50" s="93"/>
      <c r="AE50" s="93"/>
      <c r="AF50" s="93"/>
      <c r="AG50" s="93"/>
      <c r="AH50" s="45"/>
      <c r="AI50" s="45"/>
      <c r="AJ50" s="45"/>
      <c r="AK50" s="45"/>
      <c r="AL50" s="45"/>
      <c r="AM50" s="45"/>
      <c r="AN50" s="45"/>
      <c r="AO50" s="45"/>
      <c r="AP50" s="45"/>
    </row>
    <row r="51" ht="15.75" customHeight="1" spans="28:42" x14ac:dyDescent="0.25">
      <c r="AB51" s="93"/>
      <c r="AC51" s="93"/>
      <c r="AD51" s="93"/>
      <c r="AE51" s="93"/>
      <c r="AF51" s="93"/>
      <c r="AG51" s="93"/>
      <c r="AH51" s="45"/>
      <c r="AI51" s="45"/>
      <c r="AJ51" s="45"/>
      <c r="AK51" s="45"/>
      <c r="AL51" s="45"/>
      <c r="AM51" s="45"/>
      <c r="AN51" s="45"/>
      <c r="AO51" s="45"/>
      <c r="AP51" s="45"/>
    </row>
    <row r="52" ht="15.75" customHeight="1" spans="28:42" x14ac:dyDescent="0.25">
      <c r="AB52" s="93"/>
      <c r="AC52" s="93"/>
      <c r="AD52" s="93"/>
      <c r="AE52" s="93"/>
      <c r="AF52" s="93"/>
      <c r="AG52" s="93"/>
      <c r="AH52" s="45"/>
      <c r="AI52" s="45"/>
      <c r="AJ52" s="45"/>
      <c r="AK52" s="45"/>
      <c r="AL52" s="45"/>
      <c r="AM52" s="45"/>
      <c r="AN52" s="45"/>
      <c r="AO52" s="45"/>
      <c r="AP52" s="45"/>
    </row>
    <row r="53" ht="15.75" customHeight="1" spans="28:42" x14ac:dyDescent="0.25">
      <c r="AB53" s="93"/>
      <c r="AC53" s="93"/>
      <c r="AD53" s="93"/>
      <c r="AE53" s="93"/>
      <c r="AF53" s="93"/>
      <c r="AG53" s="93"/>
      <c r="AH53" s="45"/>
      <c r="AI53" s="45"/>
      <c r="AJ53" s="45"/>
      <c r="AK53" s="45"/>
      <c r="AL53" s="45"/>
      <c r="AM53" s="45"/>
      <c r="AN53" s="45"/>
      <c r="AO53" s="45"/>
      <c r="AP53" s="45"/>
    </row>
    <row r="54" ht="15.75" customHeight="1" spans="28:42" x14ac:dyDescent="0.25">
      <c r="AB54" s="93"/>
      <c r="AC54" s="93"/>
      <c r="AD54" s="93"/>
      <c r="AE54" s="93"/>
      <c r="AF54" s="93"/>
      <c r="AG54" s="93"/>
      <c r="AH54" s="45"/>
      <c r="AI54" s="45"/>
      <c r="AJ54" s="45"/>
      <c r="AK54" s="45"/>
      <c r="AL54" s="45"/>
      <c r="AM54" s="45"/>
      <c r="AN54" s="45"/>
      <c r="AO54" s="45"/>
      <c r="AP54" s="45"/>
    </row>
    <row r="55" ht="15.75" customHeight="1" spans="28:42" x14ac:dyDescent="0.25">
      <c r="AB55" s="93"/>
      <c r="AC55" s="93"/>
      <c r="AD55" s="93"/>
      <c r="AE55" s="93"/>
      <c r="AF55" s="93"/>
      <c r="AG55" s="93"/>
      <c r="AH55" s="45"/>
      <c r="AI55" s="45"/>
      <c r="AJ55" s="45"/>
      <c r="AK55" s="45"/>
      <c r="AL55" s="45"/>
      <c r="AM55" s="45"/>
      <c r="AN55" s="45"/>
      <c r="AO55" s="45"/>
      <c r="AP55" s="45"/>
    </row>
    <row r="56" ht="15.75" customHeight="1" spans="28:42" x14ac:dyDescent="0.25">
      <c r="AB56" s="93"/>
      <c r="AC56" s="93"/>
      <c r="AD56" s="93"/>
      <c r="AE56" s="93"/>
      <c r="AF56" s="93"/>
      <c r="AG56" s="93"/>
      <c r="AH56" s="45"/>
      <c r="AI56" s="45"/>
      <c r="AJ56" s="45"/>
      <c r="AK56" s="45"/>
      <c r="AL56" s="45"/>
      <c r="AM56" s="45"/>
      <c r="AN56" s="45"/>
      <c r="AO56" s="45"/>
      <c r="AP56" s="45"/>
    </row>
    <row r="57" ht="15.75" customHeight="1" spans="28:42" x14ac:dyDescent="0.25">
      <c r="AB57" s="93"/>
      <c r="AC57" s="93"/>
      <c r="AD57" s="93"/>
      <c r="AE57" s="93"/>
      <c r="AF57" s="93"/>
      <c r="AG57" s="93"/>
      <c r="AH57" s="45"/>
      <c r="AI57" s="45"/>
      <c r="AJ57" s="45"/>
      <c r="AK57" s="45"/>
      <c r="AL57" s="45"/>
      <c r="AM57" s="45"/>
      <c r="AN57" s="45"/>
      <c r="AO57" s="45"/>
      <c r="AP57" s="45"/>
    </row>
    <row r="58" ht="15.75" customHeight="1" spans="28:42" x14ac:dyDescent="0.25">
      <c r="AB58" s="93"/>
      <c r="AC58" s="93"/>
      <c r="AD58" s="93"/>
      <c r="AE58" s="93"/>
      <c r="AF58" s="93"/>
      <c r="AG58" s="93"/>
      <c r="AH58" s="45"/>
      <c r="AI58" s="45"/>
      <c r="AJ58" s="45"/>
      <c r="AK58" s="45"/>
      <c r="AL58" s="45"/>
      <c r="AM58" s="45"/>
      <c r="AN58" s="45"/>
      <c r="AO58" s="45"/>
      <c r="AP58" s="45"/>
    </row>
    <row r="59" ht="15.75" customHeight="1" spans="28:42" x14ac:dyDescent="0.25">
      <c r="AB59" s="93"/>
      <c r="AC59" s="93"/>
      <c r="AD59" s="93"/>
      <c r="AE59" s="93"/>
      <c r="AF59" s="93"/>
      <c r="AG59" s="93"/>
      <c r="AH59" s="45"/>
      <c r="AI59" s="45"/>
      <c r="AJ59" s="45"/>
      <c r="AK59" s="45"/>
      <c r="AL59" s="45"/>
      <c r="AM59" s="45"/>
      <c r="AN59" s="45"/>
      <c r="AO59" s="45"/>
      <c r="AP59" s="45"/>
    </row>
    <row r="60" ht="15.75" customHeight="1" spans="28:42" x14ac:dyDescent="0.25">
      <c r="AB60" s="93"/>
      <c r="AC60" s="93"/>
      <c r="AD60" s="93"/>
      <c r="AE60" s="93"/>
      <c r="AF60" s="93"/>
      <c r="AG60" s="93"/>
      <c r="AH60" s="45"/>
      <c r="AI60" s="45"/>
      <c r="AJ60" s="45"/>
      <c r="AK60" s="45"/>
      <c r="AL60" s="45"/>
      <c r="AM60" s="45"/>
      <c r="AN60" s="45"/>
      <c r="AO60" s="45"/>
      <c r="AP60" s="45"/>
    </row>
    <row r="61" ht="15.75" customHeight="1" spans="28:42" x14ac:dyDescent="0.25">
      <c r="AB61" s="93"/>
      <c r="AC61" s="93"/>
      <c r="AD61" s="93"/>
      <c r="AE61" s="93"/>
      <c r="AF61" s="93"/>
      <c r="AG61" s="93"/>
      <c r="AH61" s="45"/>
      <c r="AI61" s="45"/>
      <c r="AJ61" s="45"/>
      <c r="AK61" s="45"/>
      <c r="AL61" s="45"/>
      <c r="AM61" s="45"/>
      <c r="AN61" s="45"/>
      <c r="AO61" s="45"/>
      <c r="AP61" s="45"/>
    </row>
    <row r="62" ht="15.75" customHeight="1" spans="34:42" x14ac:dyDescent="0.25">
      <c r="AH62" s="45"/>
      <c r="AI62" s="45"/>
      <c r="AJ62" s="45"/>
      <c r="AK62" s="45"/>
      <c r="AL62" s="45"/>
      <c r="AM62" s="45"/>
      <c r="AN62" s="45"/>
      <c r="AO62" s="45"/>
      <c r="AP62" s="45"/>
    </row>
    <row r="63" ht="15.75" customHeight="1" spans="34:42" x14ac:dyDescent="0.25">
      <c r="AH63" s="45"/>
      <c r="AI63" s="45"/>
      <c r="AJ63" s="45"/>
      <c r="AK63" s="45"/>
      <c r="AL63" s="45"/>
      <c r="AM63" s="45"/>
      <c r="AN63" s="45"/>
      <c r="AO63" s="45"/>
      <c r="AP63" s="45"/>
    </row>
    <row r="64" ht="15.75" customHeight="1" spans="34:42" x14ac:dyDescent="0.25">
      <c r="AH64" s="45"/>
      <c r="AI64" s="45"/>
      <c r="AJ64" s="45"/>
      <c r="AK64" s="45"/>
      <c r="AL64" s="45"/>
      <c r="AM64" s="45"/>
      <c r="AN64" s="45"/>
      <c r="AO64" s="45"/>
      <c r="AP64" s="45"/>
    </row>
    <row r="65" ht="15.75" customHeight="1" spans="34:42" x14ac:dyDescent="0.25">
      <c r="AH65" s="45"/>
      <c r="AI65" s="45"/>
      <c r="AJ65" s="45"/>
      <c r="AK65" s="45"/>
      <c r="AL65" s="45"/>
      <c r="AM65" s="45"/>
      <c r="AN65" s="45"/>
      <c r="AO65" s="45"/>
      <c r="AP65" s="45"/>
    </row>
    <row r="66" ht="15.75" customHeight="1" spans="34:42" x14ac:dyDescent="0.25">
      <c r="AH66" s="45"/>
      <c r="AI66" s="45"/>
      <c r="AJ66" s="45"/>
      <c r="AK66" s="45"/>
      <c r="AL66" s="45"/>
      <c r="AM66" s="45"/>
      <c r="AN66" s="45"/>
      <c r="AO66" s="45"/>
      <c r="AP66" s="45"/>
    </row>
    <row r="67" ht="15.75" customHeight="1" spans="34:42" x14ac:dyDescent="0.25">
      <c r="AH67" s="45"/>
      <c r="AI67" s="45"/>
      <c r="AJ67" s="45"/>
      <c r="AK67" s="45"/>
      <c r="AL67" s="45"/>
      <c r="AM67" s="45"/>
      <c r="AN67" s="45"/>
      <c r="AO67" s="45"/>
      <c r="AP67" s="45"/>
    </row>
    <row r="68" ht="15.75" customHeight="1" spans="34:42" x14ac:dyDescent="0.25">
      <c r="AH68" s="45"/>
      <c r="AI68" s="45"/>
      <c r="AJ68" s="45"/>
      <c r="AK68" s="45"/>
      <c r="AL68" s="45"/>
      <c r="AM68" s="45"/>
      <c r="AN68" s="45"/>
      <c r="AO68" s="45"/>
      <c r="AP68" s="45"/>
    </row>
    <row r="69" ht="15.75" customHeight="1" spans="34:42" x14ac:dyDescent="0.25">
      <c r="AH69" s="45"/>
      <c r="AI69" s="45"/>
      <c r="AJ69" s="45"/>
      <c r="AK69" s="45"/>
      <c r="AL69" s="45"/>
      <c r="AM69" s="45"/>
      <c r="AN69" s="45"/>
      <c r="AO69" s="45"/>
      <c r="AP69" s="45"/>
    </row>
    <row r="70" ht="15.75" customHeight="1" spans="34:42" x14ac:dyDescent="0.25">
      <c r="AH70" s="45"/>
      <c r="AI70" s="45"/>
      <c r="AJ70" s="45"/>
      <c r="AK70" s="45"/>
      <c r="AL70" s="45"/>
      <c r="AM70" s="45"/>
      <c r="AN70" s="45"/>
      <c r="AO70" s="45"/>
      <c r="AP70" s="45"/>
    </row>
    <row r="71" ht="15.75" customHeight="1" spans="34:42" x14ac:dyDescent="0.25">
      <c r="AH71" s="45"/>
      <c r="AI71" s="45"/>
      <c r="AJ71" s="45"/>
      <c r="AK71" s="45"/>
      <c r="AL71" s="45"/>
      <c r="AM71" s="45"/>
      <c r="AN71" s="45"/>
      <c r="AO71" s="45"/>
      <c r="AP71" s="45"/>
    </row>
    <row r="72" ht="15.75" customHeight="1" spans="34:42" x14ac:dyDescent="0.25">
      <c r="AH72" s="45"/>
      <c r="AI72" s="45"/>
      <c r="AJ72" s="45"/>
      <c r="AK72" s="45"/>
      <c r="AL72" s="45"/>
      <c r="AM72" s="45"/>
      <c r="AN72" s="45"/>
      <c r="AO72" s="45"/>
      <c r="AP72" s="45"/>
    </row>
    <row r="73" ht="15.75" customHeight="1" spans="34:42" x14ac:dyDescent="0.25">
      <c r="AH73" s="45"/>
      <c r="AI73" s="45"/>
      <c r="AJ73" s="45"/>
      <c r="AK73" s="45"/>
      <c r="AL73" s="45"/>
      <c r="AM73" s="45"/>
      <c r="AN73" s="45"/>
      <c r="AO73" s="45"/>
      <c r="AP73" s="45"/>
    </row>
    <row r="74" ht="15.75" customHeight="1" spans="34:42" x14ac:dyDescent="0.25">
      <c r="AH74" s="45"/>
      <c r="AI74" s="45"/>
      <c r="AJ74" s="45"/>
      <c r="AK74" s="45"/>
      <c r="AL74" s="45"/>
      <c r="AM74" s="45"/>
      <c r="AN74" s="45"/>
      <c r="AO74" s="45"/>
      <c r="AP74" s="45"/>
    </row>
    <row r="75" ht="15.75" customHeight="1" spans="34:42" x14ac:dyDescent="0.25">
      <c r="AH75" s="45"/>
      <c r="AI75" s="45"/>
      <c r="AJ75" s="45"/>
      <c r="AK75" s="45"/>
      <c r="AL75" s="45"/>
      <c r="AM75" s="45"/>
      <c r="AN75" s="45"/>
      <c r="AO75" s="45"/>
      <c r="AP75" s="45"/>
    </row>
    <row r="76" ht="15.75" customHeight="1" spans="34:42" x14ac:dyDescent="0.25">
      <c r="AH76" s="45"/>
      <c r="AI76" s="45"/>
      <c r="AJ76" s="45"/>
      <c r="AK76" s="45"/>
      <c r="AL76" s="45"/>
      <c r="AM76" s="45"/>
      <c r="AN76" s="45"/>
      <c r="AO76" s="45"/>
      <c r="AP76" s="45"/>
    </row>
    <row r="77" ht="15.75" customHeight="1" spans="34:42" x14ac:dyDescent="0.25">
      <c r="AH77" s="45"/>
      <c r="AI77" s="45"/>
      <c r="AJ77" s="45"/>
      <c r="AK77" s="45"/>
      <c r="AL77" s="45"/>
      <c r="AM77" s="45"/>
      <c r="AN77" s="45"/>
      <c r="AO77" s="45"/>
      <c r="AP77" s="45"/>
    </row>
    <row r="78" ht="15.75" customHeight="1" spans="34:42" x14ac:dyDescent="0.25">
      <c r="AH78" s="45"/>
      <c r="AI78" s="45"/>
      <c r="AJ78" s="45"/>
      <c r="AK78" s="45"/>
      <c r="AL78" s="45"/>
      <c r="AM78" s="45"/>
      <c r="AN78" s="45"/>
      <c r="AO78" s="45"/>
      <c r="AP78" s="45"/>
    </row>
    <row r="79" ht="15.75" customHeight="1" spans="34:42" x14ac:dyDescent="0.25">
      <c r="AH79" s="45"/>
      <c r="AI79" s="45"/>
      <c r="AJ79" s="45"/>
      <c r="AK79" s="45"/>
      <c r="AL79" s="45"/>
      <c r="AM79" s="45"/>
      <c r="AN79" s="45"/>
      <c r="AO79" s="45"/>
      <c r="AP79" s="45"/>
    </row>
    <row r="80" ht="15.75" customHeight="1" spans="34:42" x14ac:dyDescent="0.25">
      <c r="AH80" s="45"/>
      <c r="AI80" s="45"/>
      <c r="AJ80" s="45"/>
      <c r="AK80" s="45"/>
      <c r="AL80" s="45"/>
      <c r="AM80" s="45"/>
      <c r="AN80" s="45"/>
      <c r="AO80" s="45"/>
      <c r="AP80" s="45"/>
    </row>
    <row r="81" ht="15.75" customHeight="1" spans="34:42" x14ac:dyDescent="0.25">
      <c r="AH81" s="45"/>
      <c r="AI81" s="45"/>
      <c r="AJ81" s="45"/>
      <c r="AK81" s="45"/>
      <c r="AL81" s="45"/>
      <c r="AM81" s="45"/>
      <c r="AN81" s="45"/>
      <c r="AO81" s="45"/>
      <c r="AP81" s="45"/>
    </row>
    <row r="82" ht="15.75" customHeight="1" spans="34:42" x14ac:dyDescent="0.25">
      <c r="AH82" s="45"/>
      <c r="AI82" s="45"/>
      <c r="AJ82" s="45"/>
      <c r="AK82" s="45"/>
      <c r="AL82" s="45"/>
      <c r="AM82" s="45"/>
      <c r="AN82" s="45"/>
      <c r="AO82" s="45"/>
      <c r="AP82" s="45"/>
    </row>
    <row r="83" ht="15.75" customHeight="1" spans="34:42" x14ac:dyDescent="0.25">
      <c r="AH83" s="45"/>
      <c r="AI83" s="45"/>
      <c r="AJ83" s="45"/>
      <c r="AK83" s="45"/>
      <c r="AL83" s="45"/>
      <c r="AM83" s="45"/>
      <c r="AN83" s="45"/>
      <c r="AO83" s="45"/>
      <c r="AP83" s="45"/>
    </row>
    <row r="84" ht="15.75" customHeight="1" spans="34:42" x14ac:dyDescent="0.25">
      <c r="AH84" s="45"/>
      <c r="AI84" s="45"/>
      <c r="AJ84" s="45"/>
      <c r="AK84" s="45"/>
      <c r="AL84" s="45"/>
      <c r="AM84" s="45"/>
      <c r="AN84" s="45"/>
      <c r="AO84" s="45"/>
      <c r="AP84" s="45"/>
    </row>
    <row r="85" ht="15.75" customHeight="1" spans="34:42" x14ac:dyDescent="0.25">
      <c r="AH85" s="45"/>
      <c r="AI85" s="45"/>
      <c r="AJ85" s="45"/>
      <c r="AK85" s="45"/>
      <c r="AL85" s="45"/>
      <c r="AM85" s="45"/>
      <c r="AN85" s="45"/>
      <c r="AO85" s="45"/>
      <c r="AP85" s="45"/>
    </row>
    <row r="86" ht="15.75" customHeight="1" spans="34:42" x14ac:dyDescent="0.25">
      <c r="AH86" s="45"/>
      <c r="AI86" s="45"/>
      <c r="AJ86" s="45"/>
      <c r="AK86" s="45"/>
      <c r="AL86" s="45"/>
      <c r="AM86" s="45"/>
      <c r="AN86" s="45"/>
      <c r="AO86" s="45"/>
      <c r="AP86" s="45"/>
    </row>
    <row r="87" ht="15.75" customHeight="1" spans="34:42" x14ac:dyDescent="0.25">
      <c r="AH87" s="45"/>
      <c r="AI87" s="45"/>
      <c r="AJ87" s="45"/>
      <c r="AK87" s="45"/>
      <c r="AL87" s="45"/>
      <c r="AM87" s="45"/>
      <c r="AN87" s="45"/>
      <c r="AO87" s="45"/>
      <c r="AP87" s="45"/>
    </row>
    <row r="88" ht="15.75" customHeight="1" spans="34:42" x14ac:dyDescent="0.25">
      <c r="AH88" s="45"/>
      <c r="AI88" s="45"/>
      <c r="AJ88" s="45"/>
      <c r="AK88" s="45"/>
      <c r="AL88" s="45"/>
      <c r="AM88" s="45"/>
      <c r="AN88" s="45"/>
      <c r="AO88" s="45"/>
      <c r="AP88" s="45"/>
    </row>
    <row r="89" ht="15.75" customHeight="1" spans="34:42" x14ac:dyDescent="0.25">
      <c r="AH89" s="45"/>
      <c r="AI89" s="45"/>
      <c r="AJ89" s="45"/>
      <c r="AK89" s="45"/>
      <c r="AL89" s="45"/>
      <c r="AM89" s="45"/>
      <c r="AN89" s="45"/>
      <c r="AO89" s="45"/>
      <c r="AP89" s="45"/>
    </row>
    <row r="90" ht="15.75" customHeight="1" spans="34:42" x14ac:dyDescent="0.25">
      <c r="AH90" s="45"/>
      <c r="AI90" s="45"/>
      <c r="AJ90" s="45"/>
      <c r="AK90" s="45"/>
      <c r="AL90" s="45"/>
      <c r="AM90" s="45"/>
      <c r="AN90" s="45"/>
      <c r="AO90" s="45"/>
      <c r="AP90" s="45"/>
    </row>
    <row r="91" ht="15.75" customHeight="1" spans="34:42" x14ac:dyDescent="0.25">
      <c r="AH91" s="45"/>
      <c r="AI91" s="45"/>
      <c r="AJ91" s="45"/>
      <c r="AK91" s="45"/>
      <c r="AL91" s="45"/>
      <c r="AM91" s="45"/>
      <c r="AN91" s="45"/>
      <c r="AO91" s="45"/>
      <c r="AP91" s="45"/>
    </row>
    <row r="92" ht="15.75" customHeight="1" spans="34:42" x14ac:dyDescent="0.25">
      <c r="AH92" s="45"/>
      <c r="AI92" s="45"/>
      <c r="AJ92" s="45"/>
      <c r="AK92" s="45"/>
      <c r="AL92" s="45"/>
      <c r="AM92" s="45"/>
      <c r="AN92" s="45"/>
      <c r="AO92" s="45"/>
      <c r="AP92" s="45"/>
    </row>
    <row r="93" ht="15.75" customHeight="1" spans="34:42" x14ac:dyDescent="0.25">
      <c r="AH93" s="45"/>
      <c r="AI93" s="45"/>
      <c r="AJ93" s="45"/>
      <c r="AK93" s="45"/>
      <c r="AL93" s="45"/>
      <c r="AM93" s="45"/>
      <c r="AN93" s="45"/>
      <c r="AO93" s="45"/>
      <c r="AP93" s="45"/>
    </row>
    <row r="94" ht="15.75" customHeight="1" spans="34:42" x14ac:dyDescent="0.25">
      <c r="AH94" s="45"/>
      <c r="AI94" s="45"/>
      <c r="AJ94" s="45"/>
      <c r="AK94" s="45"/>
      <c r="AL94" s="45"/>
      <c r="AM94" s="45"/>
      <c r="AN94" s="45"/>
      <c r="AO94" s="45"/>
      <c r="AP94" s="45"/>
    </row>
    <row r="95" ht="15.75" customHeight="1" spans="34:42" x14ac:dyDescent="0.25">
      <c r="AH95" s="45"/>
      <c r="AI95" s="45"/>
      <c r="AJ95" s="45"/>
      <c r="AK95" s="45"/>
      <c r="AL95" s="45"/>
      <c r="AM95" s="45"/>
      <c r="AN95" s="45"/>
      <c r="AO95" s="45"/>
      <c r="AP95" s="45"/>
    </row>
    <row r="96" ht="15.75" customHeight="1" spans="34:42" x14ac:dyDescent="0.25">
      <c r="AH96" s="45"/>
      <c r="AI96" s="45"/>
      <c r="AJ96" s="45"/>
      <c r="AK96" s="45"/>
      <c r="AL96" s="45"/>
      <c r="AM96" s="45"/>
      <c r="AN96" s="45"/>
      <c r="AO96" s="45"/>
      <c r="AP96" s="45"/>
    </row>
    <row r="97" ht="15.75" customHeight="1" spans="34:42" x14ac:dyDescent="0.25">
      <c r="AH97" s="45"/>
      <c r="AI97" s="45"/>
      <c r="AJ97" s="45"/>
      <c r="AK97" s="45"/>
      <c r="AL97" s="45"/>
      <c r="AM97" s="45"/>
      <c r="AN97" s="45"/>
      <c r="AO97" s="45"/>
      <c r="AP97" s="45"/>
    </row>
    <row r="98" ht="15.75" customHeight="1" spans="34:42" x14ac:dyDescent="0.25">
      <c r="AH98" s="45"/>
      <c r="AI98" s="45"/>
      <c r="AJ98" s="45"/>
      <c r="AK98" s="45"/>
      <c r="AL98" s="45"/>
      <c r="AM98" s="45"/>
      <c r="AN98" s="45"/>
      <c r="AO98" s="45"/>
      <c r="AP98" s="45"/>
    </row>
    <row r="99" ht="15.75" customHeight="1" spans="34:42" x14ac:dyDescent="0.25">
      <c r="AH99" s="45"/>
      <c r="AI99" s="45"/>
      <c r="AJ99" s="45"/>
      <c r="AK99" s="45"/>
      <c r="AL99" s="45"/>
      <c r="AM99" s="45"/>
      <c r="AN99" s="45"/>
      <c r="AO99" s="45"/>
      <c r="AP99" s="45"/>
    </row>
    <row r="100" ht="15.75" customHeight="1" spans="34:42" x14ac:dyDescent="0.25">
      <c r="AH100" s="45"/>
      <c r="AI100" s="45"/>
      <c r="AJ100" s="45"/>
      <c r="AK100" s="45"/>
      <c r="AL100" s="45"/>
      <c r="AM100" s="45"/>
      <c r="AN100" s="45"/>
      <c r="AO100" s="45"/>
      <c r="AP100" s="45"/>
    </row>
    <row r="101" ht="15.75" customHeight="1" spans="34:42" x14ac:dyDescent="0.25">
      <c r="AH101" s="45"/>
      <c r="AI101" s="45"/>
      <c r="AJ101" s="45"/>
      <c r="AK101" s="45"/>
      <c r="AL101" s="45"/>
      <c r="AM101" s="45"/>
      <c r="AN101" s="45"/>
      <c r="AO101" s="45"/>
      <c r="AP101" s="45"/>
    </row>
    <row r="102" ht="15.75" customHeight="1" spans="34:42" x14ac:dyDescent="0.25">
      <c r="AH102" s="45"/>
      <c r="AI102" s="45"/>
      <c r="AJ102" s="45"/>
      <c r="AK102" s="45"/>
      <c r="AL102" s="45"/>
      <c r="AM102" s="45"/>
      <c r="AN102" s="45"/>
      <c r="AO102" s="45"/>
      <c r="AP102" s="45"/>
    </row>
    <row r="103" ht="15.75" customHeight="1" spans="34:42" x14ac:dyDescent="0.25">
      <c r="AH103" s="45"/>
      <c r="AI103" s="45"/>
      <c r="AJ103" s="45"/>
      <c r="AK103" s="45"/>
      <c r="AL103" s="45"/>
      <c r="AM103" s="45"/>
      <c r="AN103" s="45"/>
      <c r="AO103" s="45"/>
      <c r="AP103" s="45"/>
    </row>
    <row r="104" ht="15.75" customHeight="1" spans="34:42" x14ac:dyDescent="0.25">
      <c r="AH104" s="45"/>
      <c r="AI104" s="45"/>
      <c r="AJ104" s="45"/>
      <c r="AK104" s="45"/>
      <c r="AL104" s="45"/>
      <c r="AM104" s="45"/>
      <c r="AN104" s="45"/>
      <c r="AO104" s="45"/>
      <c r="AP104" s="45"/>
    </row>
    <row r="105" ht="15.75" customHeight="1" spans="34:42" x14ac:dyDescent="0.25">
      <c r="AH105" s="45"/>
      <c r="AI105" s="45"/>
      <c r="AJ105" s="45"/>
      <c r="AK105" s="45"/>
      <c r="AL105" s="45"/>
      <c r="AM105" s="45"/>
      <c r="AN105" s="45"/>
      <c r="AO105" s="45"/>
      <c r="AP105" s="45"/>
    </row>
    <row r="106" ht="15.75" customHeight="1" spans="34:42" x14ac:dyDescent="0.25">
      <c r="AH106" s="45"/>
      <c r="AI106" s="45"/>
      <c r="AJ106" s="45"/>
      <c r="AK106" s="45"/>
      <c r="AL106" s="45"/>
      <c r="AM106" s="45"/>
      <c r="AN106" s="45"/>
      <c r="AO106" s="45"/>
      <c r="AP106" s="45"/>
    </row>
    <row r="107" ht="15.75" customHeight="1" spans="34:42" x14ac:dyDescent="0.25">
      <c r="AH107" s="45"/>
      <c r="AI107" s="45"/>
      <c r="AJ107" s="45"/>
      <c r="AK107" s="45"/>
      <c r="AL107" s="45"/>
      <c r="AM107" s="45"/>
      <c r="AN107" s="45"/>
      <c r="AO107" s="45"/>
      <c r="AP107" s="45"/>
    </row>
    <row r="108" ht="15.75" customHeight="1" spans="34:42" x14ac:dyDescent="0.25">
      <c r="AH108" s="45"/>
      <c r="AI108" s="45"/>
      <c r="AJ108" s="45"/>
      <c r="AK108" s="45"/>
      <c r="AL108" s="45"/>
      <c r="AM108" s="45"/>
      <c r="AN108" s="45"/>
      <c r="AO108" s="45"/>
      <c r="AP108" s="45"/>
    </row>
    <row r="109" ht="15.75" customHeight="1" spans="34:42" x14ac:dyDescent="0.25">
      <c r="AH109" s="45"/>
      <c r="AI109" s="45"/>
      <c r="AJ109" s="45"/>
      <c r="AK109" s="45"/>
      <c r="AL109" s="45"/>
      <c r="AM109" s="45"/>
      <c r="AN109" s="45"/>
      <c r="AO109" s="45"/>
      <c r="AP109" s="45"/>
    </row>
    <row r="110" ht="15.75" customHeight="1" spans="34:42" x14ac:dyDescent="0.25">
      <c r="AH110" s="45"/>
      <c r="AI110" s="45"/>
      <c r="AJ110" s="45"/>
      <c r="AK110" s="45"/>
      <c r="AL110" s="45"/>
      <c r="AM110" s="45"/>
      <c r="AN110" s="45"/>
      <c r="AO110" s="45"/>
      <c r="AP110" s="45"/>
    </row>
    <row r="111" ht="15.75" customHeight="1" spans="34:42" x14ac:dyDescent="0.25">
      <c r="AH111" s="45"/>
      <c r="AI111" s="45"/>
      <c r="AJ111" s="45"/>
      <c r="AK111" s="45"/>
      <c r="AL111" s="45"/>
      <c r="AM111" s="45"/>
      <c r="AN111" s="45"/>
      <c r="AO111" s="45"/>
      <c r="AP111" s="45"/>
    </row>
    <row r="112" ht="15.75" customHeight="1" spans="34:42" x14ac:dyDescent="0.25">
      <c r="AH112" s="45"/>
      <c r="AI112" s="45"/>
      <c r="AJ112" s="45"/>
      <c r="AK112" s="45"/>
      <c r="AL112" s="45"/>
      <c r="AM112" s="45"/>
      <c r="AN112" s="45"/>
      <c r="AO112" s="45"/>
      <c r="AP112" s="45"/>
    </row>
    <row r="113" ht="15.75" customHeight="1" spans="34:42" x14ac:dyDescent="0.25">
      <c r="AH113" s="45"/>
      <c r="AI113" s="45"/>
      <c r="AJ113" s="45"/>
      <c r="AK113" s="45"/>
      <c r="AL113" s="45"/>
      <c r="AM113" s="45"/>
      <c r="AN113" s="45"/>
      <c r="AO113" s="45"/>
      <c r="AP113" s="45"/>
    </row>
    <row r="114" ht="15.75" customHeight="1" spans="34:42" x14ac:dyDescent="0.25">
      <c r="AH114" s="45"/>
      <c r="AI114" s="45"/>
      <c r="AJ114" s="45"/>
      <c r="AK114" s="45"/>
      <c r="AL114" s="45"/>
      <c r="AM114" s="45"/>
      <c r="AN114" s="45"/>
      <c r="AO114" s="45"/>
      <c r="AP114" s="45"/>
    </row>
    <row r="115" ht="15.75" customHeight="1" spans="34:42" x14ac:dyDescent="0.25">
      <c r="AH115" s="45"/>
      <c r="AI115" s="45"/>
      <c r="AJ115" s="45"/>
      <c r="AK115" s="45"/>
      <c r="AL115" s="45"/>
      <c r="AM115" s="45"/>
      <c r="AN115" s="45"/>
      <c r="AO115" s="45"/>
      <c r="AP115" s="45"/>
    </row>
    <row r="116" ht="15.75" customHeight="1" spans="34:42" x14ac:dyDescent="0.25">
      <c r="AH116" s="45"/>
      <c r="AI116" s="45"/>
      <c r="AJ116" s="45"/>
      <c r="AK116" s="45"/>
      <c r="AL116" s="45"/>
      <c r="AM116" s="45"/>
      <c r="AN116" s="45"/>
      <c r="AO116" s="45"/>
      <c r="AP116" s="45"/>
    </row>
    <row r="117" ht="15.75" customHeight="1" spans="34:42" x14ac:dyDescent="0.25">
      <c r="AH117" s="45"/>
      <c r="AI117" s="45"/>
      <c r="AJ117" s="45"/>
      <c r="AK117" s="45"/>
      <c r="AL117" s="45"/>
      <c r="AM117" s="45"/>
      <c r="AN117" s="45"/>
      <c r="AO117" s="45"/>
      <c r="AP117" s="45"/>
    </row>
    <row r="118" ht="15.75" customHeight="1" spans="34:42" x14ac:dyDescent="0.25">
      <c r="AH118" s="45"/>
      <c r="AI118" s="45"/>
      <c r="AJ118" s="45"/>
      <c r="AK118" s="45"/>
      <c r="AL118" s="45"/>
      <c r="AM118" s="45"/>
      <c r="AN118" s="45"/>
      <c r="AO118" s="45"/>
      <c r="AP118" s="45"/>
    </row>
    <row r="119" ht="15.75" customHeight="1" spans="34:42" x14ac:dyDescent="0.25">
      <c r="AH119" s="45"/>
      <c r="AI119" s="45"/>
      <c r="AJ119" s="45"/>
      <c r="AK119" s="45"/>
      <c r="AL119" s="45"/>
      <c r="AM119" s="45"/>
      <c r="AN119" s="45"/>
      <c r="AO119" s="45"/>
      <c r="AP119" s="45"/>
    </row>
    <row r="120" ht="15.75" customHeight="1" spans="34:42" x14ac:dyDescent="0.25">
      <c r="AH120" s="45"/>
      <c r="AI120" s="45"/>
      <c r="AJ120" s="45"/>
      <c r="AK120" s="45"/>
      <c r="AL120" s="45"/>
      <c r="AM120" s="45"/>
      <c r="AN120" s="45"/>
      <c r="AO120" s="45"/>
      <c r="AP120" s="45"/>
    </row>
    <row r="121" ht="15.75" customHeight="1" spans="34:42" x14ac:dyDescent="0.25">
      <c r="AH121" s="45"/>
      <c r="AI121" s="45"/>
      <c r="AJ121" s="45"/>
      <c r="AK121" s="45"/>
      <c r="AL121" s="45"/>
      <c r="AM121" s="45"/>
      <c r="AN121" s="45"/>
      <c r="AO121" s="45"/>
      <c r="AP121" s="45"/>
    </row>
    <row r="122" ht="15.75" customHeight="1" spans="34:42" x14ac:dyDescent="0.25">
      <c r="AH122" s="45"/>
      <c r="AI122" s="45"/>
      <c r="AJ122" s="45"/>
      <c r="AK122" s="45"/>
      <c r="AL122" s="45"/>
      <c r="AM122" s="45"/>
      <c r="AN122" s="45"/>
      <c r="AO122" s="45"/>
      <c r="AP122" s="45"/>
    </row>
    <row r="123" ht="15.75" customHeight="1" spans="34:42" x14ac:dyDescent="0.25">
      <c r="AH123" s="45"/>
      <c r="AI123" s="45"/>
      <c r="AJ123" s="45"/>
      <c r="AK123" s="45"/>
      <c r="AL123" s="45"/>
      <c r="AM123" s="45"/>
      <c r="AN123" s="45"/>
      <c r="AO123" s="45"/>
      <c r="AP123" s="45"/>
    </row>
    <row r="124" ht="15.75" customHeight="1" spans="34:42" x14ac:dyDescent="0.25">
      <c r="AH124" s="45"/>
      <c r="AI124" s="45"/>
      <c r="AJ124" s="45"/>
      <c r="AK124" s="45"/>
      <c r="AL124" s="45"/>
      <c r="AM124" s="45"/>
      <c r="AN124" s="45"/>
      <c r="AO124" s="45"/>
      <c r="AP124" s="45"/>
    </row>
    <row r="125" ht="15.75" customHeight="1" spans="34:42" x14ac:dyDescent="0.25">
      <c r="AH125" s="45"/>
      <c r="AI125" s="45"/>
      <c r="AJ125" s="45"/>
      <c r="AK125" s="45"/>
      <c r="AL125" s="45"/>
      <c r="AM125" s="45"/>
      <c r="AN125" s="45"/>
      <c r="AO125" s="45"/>
      <c r="AP125" s="45"/>
    </row>
    <row r="126" ht="15.75" customHeight="1" spans="34:42" x14ac:dyDescent="0.25">
      <c r="AH126" s="45"/>
      <c r="AI126" s="45"/>
      <c r="AJ126" s="45"/>
      <c r="AK126" s="45"/>
      <c r="AL126" s="45"/>
      <c r="AM126" s="45"/>
      <c r="AN126" s="45"/>
      <c r="AO126" s="45"/>
      <c r="AP126" s="45"/>
    </row>
    <row r="127" ht="15.75" customHeight="1" spans="34:42" x14ac:dyDescent="0.25">
      <c r="AH127" s="45"/>
      <c r="AI127" s="45"/>
      <c r="AJ127" s="45"/>
      <c r="AK127" s="45"/>
      <c r="AL127" s="45"/>
      <c r="AM127" s="45"/>
      <c r="AN127" s="45"/>
      <c r="AO127" s="45"/>
      <c r="AP127" s="45"/>
    </row>
    <row r="128" ht="15.75" customHeight="1" spans="34:42" x14ac:dyDescent="0.25">
      <c r="AH128" s="45"/>
      <c r="AI128" s="45"/>
      <c r="AJ128" s="45"/>
      <c r="AK128" s="45"/>
      <c r="AL128" s="45"/>
      <c r="AM128" s="45"/>
      <c r="AN128" s="45"/>
      <c r="AO128" s="45"/>
      <c r="AP128" s="45"/>
    </row>
    <row r="129" ht="15.75" customHeight="1" spans="34:42" x14ac:dyDescent="0.25">
      <c r="AH129" s="45"/>
      <c r="AI129" s="45"/>
      <c r="AJ129" s="45"/>
      <c r="AK129" s="45"/>
      <c r="AL129" s="45"/>
      <c r="AM129" s="45"/>
      <c r="AN129" s="45"/>
      <c r="AO129" s="45"/>
      <c r="AP129" s="45"/>
    </row>
    <row r="130" ht="15.75" customHeight="1" spans="34:42" x14ac:dyDescent="0.25">
      <c r="AH130" s="45"/>
      <c r="AI130" s="45"/>
      <c r="AJ130" s="45"/>
      <c r="AK130" s="45"/>
      <c r="AL130" s="45"/>
      <c r="AM130" s="45"/>
      <c r="AN130" s="45"/>
      <c r="AO130" s="45"/>
      <c r="AP130" s="45"/>
    </row>
    <row r="131" ht="15.75" customHeight="1" spans="34:42" x14ac:dyDescent="0.25">
      <c r="AH131" s="45"/>
      <c r="AI131" s="45"/>
      <c r="AJ131" s="45"/>
      <c r="AK131" s="45"/>
      <c r="AL131" s="45"/>
      <c r="AM131" s="45"/>
      <c r="AN131" s="45"/>
      <c r="AO131" s="45"/>
      <c r="AP131" s="45"/>
    </row>
    <row r="132" ht="15.75" customHeight="1" spans="34:42" x14ac:dyDescent="0.25">
      <c r="AH132" s="45"/>
      <c r="AI132" s="45"/>
      <c r="AJ132" s="45"/>
      <c r="AK132" s="45"/>
      <c r="AL132" s="45"/>
      <c r="AM132" s="45"/>
      <c r="AN132" s="45"/>
      <c r="AO132" s="45"/>
      <c r="AP132" s="45"/>
    </row>
    <row r="133" ht="15.75" customHeight="1" spans="34:42" x14ac:dyDescent="0.25">
      <c r="AH133" s="45"/>
      <c r="AI133" s="45"/>
      <c r="AJ133" s="45"/>
      <c r="AK133" s="45"/>
      <c r="AL133" s="45"/>
      <c r="AM133" s="45"/>
      <c r="AN133" s="45"/>
      <c r="AO133" s="45"/>
      <c r="AP133" s="45"/>
    </row>
    <row r="134" ht="15.75" customHeight="1" spans="34:42" x14ac:dyDescent="0.25">
      <c r="AH134" s="45"/>
      <c r="AI134" s="45"/>
      <c r="AJ134" s="45"/>
      <c r="AK134" s="45"/>
      <c r="AL134" s="45"/>
      <c r="AM134" s="45"/>
      <c r="AN134" s="45"/>
      <c r="AO134" s="45"/>
      <c r="AP134" s="45"/>
    </row>
    <row r="135" ht="15.75" customHeight="1" spans="34:42" x14ac:dyDescent="0.25">
      <c r="AH135" s="45"/>
      <c r="AI135" s="45"/>
      <c r="AJ135" s="45"/>
      <c r="AK135" s="45"/>
      <c r="AL135" s="45"/>
      <c r="AM135" s="45"/>
      <c r="AN135" s="45"/>
      <c r="AO135" s="45"/>
      <c r="AP135" s="45"/>
    </row>
    <row r="136" ht="15.75" customHeight="1" spans="34:42" x14ac:dyDescent="0.25">
      <c r="AH136" s="45"/>
      <c r="AI136" s="45"/>
      <c r="AJ136" s="45"/>
      <c r="AK136" s="45"/>
      <c r="AL136" s="45"/>
      <c r="AM136" s="45"/>
      <c r="AN136" s="45"/>
      <c r="AO136" s="45"/>
      <c r="AP136" s="45"/>
    </row>
    <row r="137" ht="15.75" customHeight="1" spans="34:42" x14ac:dyDescent="0.25">
      <c r="AH137" s="45"/>
      <c r="AI137" s="45"/>
      <c r="AJ137" s="45"/>
      <c r="AK137" s="45"/>
      <c r="AL137" s="45"/>
      <c r="AM137" s="45"/>
      <c r="AN137" s="45"/>
      <c r="AO137" s="45"/>
      <c r="AP137" s="45"/>
    </row>
    <row r="138" ht="15.75" customHeight="1" spans="34:42" x14ac:dyDescent="0.25">
      <c r="AH138" s="45"/>
      <c r="AI138" s="45"/>
      <c r="AJ138" s="45"/>
      <c r="AK138" s="45"/>
      <c r="AL138" s="45"/>
      <c r="AM138" s="45"/>
      <c r="AN138" s="45"/>
      <c r="AO138" s="45"/>
      <c r="AP138" s="45"/>
    </row>
    <row r="139" ht="15.75" customHeight="1" spans="34:42" x14ac:dyDescent="0.25">
      <c r="AH139" s="45"/>
      <c r="AI139" s="45"/>
      <c r="AJ139" s="45"/>
      <c r="AK139" s="45"/>
      <c r="AL139" s="45"/>
      <c r="AM139" s="45"/>
      <c r="AN139" s="45"/>
      <c r="AO139" s="45"/>
      <c r="AP139" s="45"/>
    </row>
    <row r="140" ht="15.75" customHeight="1" spans="34:42" x14ac:dyDescent="0.25">
      <c r="AH140" s="45"/>
      <c r="AI140" s="45"/>
      <c r="AJ140" s="45"/>
      <c r="AK140" s="45"/>
      <c r="AL140" s="45"/>
      <c r="AM140" s="45"/>
      <c r="AN140" s="45"/>
      <c r="AO140" s="45"/>
      <c r="AP140" s="45"/>
    </row>
    <row r="141" ht="15.75" customHeight="1" spans="34:42" x14ac:dyDescent="0.25">
      <c r="AH141" s="45"/>
      <c r="AI141" s="45"/>
      <c r="AJ141" s="45"/>
      <c r="AK141" s="45"/>
      <c r="AL141" s="45"/>
      <c r="AM141" s="45"/>
      <c r="AN141" s="45"/>
      <c r="AO141" s="45"/>
      <c r="AP141" s="45"/>
    </row>
    <row r="142" ht="15.75" customHeight="1" spans="34:42" x14ac:dyDescent="0.25">
      <c r="AH142" s="45"/>
      <c r="AI142" s="45"/>
      <c r="AJ142" s="45"/>
      <c r="AK142" s="45"/>
      <c r="AL142" s="45"/>
      <c r="AM142" s="45"/>
      <c r="AN142" s="45"/>
      <c r="AO142" s="45"/>
      <c r="AP142" s="45"/>
    </row>
    <row r="143" ht="15.75" customHeight="1" spans="34:42" x14ac:dyDescent="0.25">
      <c r="AH143" s="45"/>
      <c r="AI143" s="45"/>
      <c r="AJ143" s="45"/>
      <c r="AK143" s="45"/>
      <c r="AL143" s="45"/>
      <c r="AM143" s="45"/>
      <c r="AN143" s="45"/>
      <c r="AO143" s="45"/>
      <c r="AP143" s="45"/>
    </row>
    <row r="144" ht="15.75" customHeight="1" spans="34:42" x14ac:dyDescent="0.25">
      <c r="AH144" s="45"/>
      <c r="AI144" s="45"/>
      <c r="AJ144" s="45"/>
      <c r="AK144" s="45"/>
      <c r="AL144" s="45"/>
      <c r="AM144" s="45"/>
      <c r="AN144" s="45"/>
      <c r="AO144" s="45"/>
      <c r="AP144" s="45"/>
    </row>
    <row r="145" ht="15.75" customHeight="1" spans="34:42" x14ac:dyDescent="0.25">
      <c r="AH145" s="45"/>
      <c r="AI145" s="45"/>
      <c r="AJ145" s="45"/>
      <c r="AK145" s="45"/>
      <c r="AL145" s="45"/>
      <c r="AM145" s="45"/>
      <c r="AN145" s="45"/>
      <c r="AO145" s="45"/>
      <c r="AP145" s="45"/>
    </row>
    <row r="146" ht="15.75" customHeight="1" spans="34:42" x14ac:dyDescent="0.25">
      <c r="AH146" s="45"/>
      <c r="AI146" s="45"/>
      <c r="AJ146" s="45"/>
      <c r="AK146" s="45"/>
      <c r="AL146" s="45"/>
      <c r="AM146" s="45"/>
      <c r="AN146" s="45"/>
      <c r="AO146" s="45"/>
      <c r="AP146" s="45"/>
    </row>
    <row r="147" ht="15.75" customHeight="1" spans="34:42" x14ac:dyDescent="0.25">
      <c r="AH147" s="45"/>
      <c r="AI147" s="45"/>
      <c r="AJ147" s="45"/>
      <c r="AK147" s="45"/>
      <c r="AL147" s="45"/>
      <c r="AM147" s="45"/>
      <c r="AN147" s="45"/>
      <c r="AO147" s="45"/>
      <c r="AP147" s="45"/>
    </row>
    <row r="148" ht="15.75" customHeight="1" spans="34:42" x14ac:dyDescent="0.25">
      <c r="AH148" s="45"/>
      <c r="AI148" s="45"/>
      <c r="AJ148" s="45"/>
      <c r="AK148" s="45"/>
      <c r="AL148" s="45"/>
      <c r="AM148" s="45"/>
      <c r="AN148" s="45"/>
      <c r="AO148" s="45"/>
      <c r="AP148" s="45"/>
    </row>
    <row r="149" ht="15.75" customHeight="1" spans="34:42" x14ac:dyDescent="0.25">
      <c r="AH149" s="45"/>
      <c r="AI149" s="45"/>
      <c r="AJ149" s="45"/>
      <c r="AK149" s="45"/>
      <c r="AL149" s="45"/>
      <c r="AM149" s="45"/>
      <c r="AN149" s="45"/>
      <c r="AO149" s="45"/>
      <c r="AP149" s="45"/>
    </row>
    <row r="150" ht="15.75" customHeight="1" spans="34:42" x14ac:dyDescent="0.25">
      <c r="AH150" s="45"/>
      <c r="AI150" s="45"/>
      <c r="AJ150" s="45"/>
      <c r="AK150" s="45"/>
      <c r="AL150" s="45"/>
      <c r="AM150" s="45"/>
      <c r="AN150" s="45"/>
      <c r="AO150" s="45"/>
      <c r="AP150" s="45"/>
    </row>
    <row r="151" ht="15.75" customHeight="1" spans="34:42" x14ac:dyDescent="0.25">
      <c r="AH151" s="45"/>
      <c r="AI151" s="45"/>
      <c r="AJ151" s="45"/>
      <c r="AK151" s="45"/>
      <c r="AL151" s="45"/>
      <c r="AM151" s="45"/>
      <c r="AN151" s="45"/>
      <c r="AO151" s="45"/>
      <c r="AP151" s="45"/>
    </row>
    <row r="152" ht="15.75" customHeight="1" spans="34:42" x14ac:dyDescent="0.25">
      <c r="AH152" s="45"/>
      <c r="AI152" s="45"/>
      <c r="AJ152" s="45"/>
      <c r="AK152" s="45"/>
      <c r="AL152" s="45"/>
      <c r="AM152" s="45"/>
      <c r="AN152" s="45"/>
      <c r="AO152" s="45"/>
      <c r="AP152" s="45"/>
    </row>
    <row r="153" ht="15.75" customHeight="1" spans="34:42" x14ac:dyDescent="0.25">
      <c r="AH153" s="45"/>
      <c r="AI153" s="45"/>
      <c r="AJ153" s="45"/>
      <c r="AK153" s="45"/>
      <c r="AL153" s="45"/>
      <c r="AM153" s="45"/>
      <c r="AN153" s="45"/>
      <c r="AO153" s="45"/>
      <c r="AP153" s="45"/>
    </row>
    <row r="154" ht="15.75" customHeight="1" spans="34:42" x14ac:dyDescent="0.25">
      <c r="AH154" s="45"/>
      <c r="AI154" s="45"/>
      <c r="AJ154" s="45"/>
      <c r="AK154" s="45"/>
      <c r="AL154" s="45"/>
      <c r="AM154" s="45"/>
      <c r="AN154" s="45"/>
      <c r="AO154" s="45"/>
      <c r="AP154" s="45"/>
    </row>
    <row r="155" ht="15.75" customHeight="1" spans="34:42" x14ac:dyDescent="0.25">
      <c r="AH155" s="45"/>
      <c r="AI155" s="45"/>
      <c r="AJ155" s="45"/>
      <c r="AK155" s="45"/>
      <c r="AL155" s="45"/>
      <c r="AM155" s="45"/>
      <c r="AN155" s="45"/>
      <c r="AO155" s="45"/>
      <c r="AP155" s="45"/>
    </row>
    <row r="156" ht="15.75" customHeight="1" spans="34:42" x14ac:dyDescent="0.25">
      <c r="AH156" s="45"/>
      <c r="AI156" s="45"/>
      <c r="AJ156" s="45"/>
      <c r="AK156" s="45"/>
      <c r="AL156" s="45"/>
      <c r="AM156" s="45"/>
      <c r="AN156" s="45"/>
      <c r="AO156" s="45"/>
      <c r="AP156" s="45"/>
    </row>
    <row r="157" ht="15.75" customHeight="1" spans="34:42" x14ac:dyDescent="0.25">
      <c r="AH157" s="45"/>
      <c r="AI157" s="45"/>
      <c r="AJ157" s="45"/>
      <c r="AK157" s="45"/>
      <c r="AL157" s="45"/>
      <c r="AM157" s="45"/>
      <c r="AN157" s="45"/>
      <c r="AO157" s="45"/>
      <c r="AP157" s="45"/>
    </row>
    <row r="158" ht="15.75" customHeight="1" spans="34:42" x14ac:dyDescent="0.25">
      <c r="AH158" s="45"/>
      <c r="AI158" s="45"/>
      <c r="AJ158" s="45"/>
      <c r="AK158" s="45"/>
      <c r="AL158" s="45"/>
      <c r="AM158" s="45"/>
      <c r="AN158" s="45"/>
      <c r="AO158" s="45"/>
      <c r="AP158" s="45"/>
    </row>
    <row r="159" ht="15.75" customHeight="1" spans="34:42" x14ac:dyDescent="0.25">
      <c r="AH159" s="45"/>
      <c r="AI159" s="45"/>
      <c r="AJ159" s="45"/>
      <c r="AK159" s="45"/>
      <c r="AL159" s="45"/>
      <c r="AM159" s="45"/>
      <c r="AN159" s="45"/>
      <c r="AO159" s="45"/>
      <c r="AP159" s="45"/>
    </row>
    <row r="160" ht="15.75" customHeight="1" spans="34:42" x14ac:dyDescent="0.25">
      <c r="AH160" s="45"/>
      <c r="AI160" s="45"/>
      <c r="AJ160" s="45"/>
      <c r="AK160" s="45"/>
      <c r="AL160" s="45"/>
      <c r="AM160" s="45"/>
      <c r="AN160" s="45"/>
      <c r="AO160" s="45"/>
      <c r="AP160" s="45"/>
    </row>
    <row r="161" ht="15.75" customHeight="1" spans="34:42" x14ac:dyDescent="0.25">
      <c r="AH161" s="45"/>
      <c r="AI161" s="45"/>
      <c r="AJ161" s="45"/>
      <c r="AK161" s="45"/>
      <c r="AL161" s="45"/>
      <c r="AM161" s="45"/>
      <c r="AN161" s="45"/>
      <c r="AO161" s="45"/>
      <c r="AP161" s="45"/>
    </row>
    <row r="162" ht="15.75" customHeight="1" spans="34:42" x14ac:dyDescent="0.25">
      <c r="AH162" s="45"/>
      <c r="AI162" s="45"/>
      <c r="AJ162" s="45"/>
      <c r="AK162" s="45"/>
      <c r="AL162" s="45"/>
      <c r="AM162" s="45"/>
      <c r="AN162" s="45"/>
      <c r="AO162" s="45"/>
      <c r="AP162" s="45"/>
    </row>
    <row r="163" ht="15.75" customHeight="1" spans="34:42" x14ac:dyDescent="0.25">
      <c r="AH163" s="45"/>
      <c r="AI163" s="45"/>
      <c r="AJ163" s="45"/>
      <c r="AK163" s="45"/>
      <c r="AL163" s="45"/>
      <c r="AM163" s="45"/>
      <c r="AN163" s="45"/>
      <c r="AO163" s="45"/>
      <c r="AP163" s="45"/>
    </row>
    <row r="164" ht="15.75" customHeight="1" spans="34:42" x14ac:dyDescent="0.25">
      <c r="AH164" s="45"/>
      <c r="AI164" s="45"/>
      <c r="AJ164" s="45"/>
      <c r="AK164" s="45"/>
      <c r="AL164" s="45"/>
      <c r="AM164" s="45"/>
      <c r="AN164" s="45"/>
      <c r="AO164" s="45"/>
      <c r="AP164" s="45"/>
    </row>
    <row r="165" ht="15.75" customHeight="1" spans="34:42" x14ac:dyDescent="0.25">
      <c r="AH165" s="45"/>
      <c r="AI165" s="45"/>
      <c r="AJ165" s="45"/>
      <c r="AK165" s="45"/>
      <c r="AL165" s="45"/>
      <c r="AM165" s="45"/>
      <c r="AN165" s="45"/>
      <c r="AO165" s="45"/>
      <c r="AP165" s="45"/>
    </row>
    <row r="166" ht="15.75" customHeight="1" spans="34:42" x14ac:dyDescent="0.25">
      <c r="AH166" s="45"/>
      <c r="AI166" s="45"/>
      <c r="AJ166" s="45"/>
      <c r="AK166" s="45"/>
      <c r="AL166" s="45"/>
      <c r="AM166" s="45"/>
      <c r="AN166" s="45"/>
      <c r="AO166" s="45"/>
      <c r="AP166" s="45"/>
    </row>
    <row r="167" ht="15.75" customHeight="1" spans="34:42" x14ac:dyDescent="0.25">
      <c r="AH167" s="45"/>
      <c r="AI167" s="45"/>
      <c r="AJ167" s="45"/>
      <c r="AK167" s="45"/>
      <c r="AL167" s="45"/>
      <c r="AM167" s="45"/>
      <c r="AN167" s="45"/>
      <c r="AO167" s="45"/>
      <c r="AP167" s="45"/>
    </row>
    <row r="168" ht="15.75" customHeight="1" spans="34:42" x14ac:dyDescent="0.25">
      <c r="AH168" s="45"/>
      <c r="AI168" s="45"/>
      <c r="AJ168" s="45"/>
      <c r="AK168" s="45"/>
      <c r="AL168" s="45"/>
      <c r="AM168" s="45"/>
      <c r="AN168" s="45"/>
      <c r="AO168" s="45"/>
      <c r="AP168" s="45"/>
    </row>
    <row r="169" ht="15.75" customHeight="1" spans="34:42" x14ac:dyDescent="0.25">
      <c r="AH169" s="45"/>
      <c r="AI169" s="45"/>
      <c r="AJ169" s="45"/>
      <c r="AK169" s="45"/>
      <c r="AL169" s="45"/>
      <c r="AM169" s="45"/>
      <c r="AN169" s="45"/>
      <c r="AO169" s="45"/>
      <c r="AP169" s="45"/>
    </row>
    <row r="170" ht="15.75" customHeight="1" spans="34:42" x14ac:dyDescent="0.25">
      <c r="AH170" s="45"/>
      <c r="AI170" s="45"/>
      <c r="AJ170" s="45"/>
      <c r="AK170" s="45"/>
      <c r="AL170" s="45"/>
      <c r="AM170" s="45"/>
      <c r="AN170" s="45"/>
      <c r="AO170" s="45"/>
      <c r="AP170" s="45"/>
    </row>
    <row r="171" ht="15.75" customHeight="1" spans="34:42" x14ac:dyDescent="0.25">
      <c r="AH171" s="45"/>
      <c r="AI171" s="45"/>
      <c r="AJ171" s="45"/>
      <c r="AK171" s="45"/>
      <c r="AL171" s="45"/>
      <c r="AM171" s="45"/>
      <c r="AN171" s="45"/>
      <c r="AO171" s="45"/>
      <c r="AP171" s="45"/>
    </row>
    <row r="172" ht="15.75" customHeight="1" spans="34:42" x14ac:dyDescent="0.25">
      <c r="AH172" s="45"/>
      <c r="AI172" s="45"/>
      <c r="AJ172" s="45"/>
      <c r="AK172" s="45"/>
      <c r="AL172" s="45"/>
      <c r="AM172" s="45"/>
      <c r="AN172" s="45"/>
      <c r="AO172" s="45"/>
      <c r="AP172" s="45"/>
    </row>
    <row r="173" ht="15.75" customHeight="1" spans="34:42" x14ac:dyDescent="0.25">
      <c r="AH173" s="45"/>
      <c r="AI173" s="45"/>
      <c r="AJ173" s="45"/>
      <c r="AK173" s="45"/>
      <c r="AL173" s="45"/>
      <c r="AM173" s="45"/>
      <c r="AN173" s="45"/>
      <c r="AO173" s="45"/>
      <c r="AP173" s="45"/>
    </row>
    <row r="174" ht="15.75" customHeight="1" spans="34:42" x14ac:dyDescent="0.25">
      <c r="AH174" s="45"/>
      <c r="AI174" s="45"/>
      <c r="AJ174" s="45"/>
      <c r="AK174" s="45"/>
      <c r="AL174" s="45"/>
      <c r="AM174" s="45"/>
      <c r="AN174" s="45"/>
      <c r="AO174" s="45"/>
      <c r="AP174" s="45"/>
    </row>
    <row r="175" ht="15.75" customHeight="1" spans="34:42" x14ac:dyDescent="0.25">
      <c r="AH175" s="45"/>
      <c r="AI175" s="45"/>
      <c r="AJ175" s="45"/>
      <c r="AK175" s="45"/>
      <c r="AL175" s="45"/>
      <c r="AM175" s="45"/>
      <c r="AN175" s="45"/>
      <c r="AO175" s="45"/>
      <c r="AP175" s="45"/>
    </row>
    <row r="176" ht="15.75" customHeight="1" spans="34:42" x14ac:dyDescent="0.25">
      <c r="AH176" s="45"/>
      <c r="AI176" s="45"/>
      <c r="AJ176" s="45"/>
      <c r="AK176" s="45"/>
      <c r="AL176" s="45"/>
      <c r="AM176" s="45"/>
      <c r="AN176" s="45"/>
      <c r="AO176" s="45"/>
      <c r="AP176" s="45"/>
    </row>
    <row r="177" ht="15.75" customHeight="1" spans="34:42" x14ac:dyDescent="0.25">
      <c r="AH177" s="45"/>
      <c r="AI177" s="45"/>
      <c r="AJ177" s="45"/>
      <c r="AK177" s="45"/>
      <c r="AL177" s="45"/>
      <c r="AM177" s="45"/>
      <c r="AN177" s="45"/>
      <c r="AO177" s="45"/>
      <c r="AP177" s="45"/>
    </row>
    <row r="178" ht="15.75" customHeight="1" spans="34:42" x14ac:dyDescent="0.25">
      <c r="AH178" s="45"/>
      <c r="AI178" s="45"/>
      <c r="AJ178" s="45"/>
      <c r="AK178" s="45"/>
      <c r="AL178" s="45"/>
      <c r="AM178" s="45"/>
      <c r="AN178" s="45"/>
      <c r="AO178" s="45"/>
      <c r="AP178" s="45"/>
    </row>
    <row r="179" ht="15.75" customHeight="1" spans="34:42" x14ac:dyDescent="0.25">
      <c r="AH179" s="45"/>
      <c r="AI179" s="45"/>
      <c r="AJ179" s="45"/>
      <c r="AK179" s="45"/>
      <c r="AL179" s="45"/>
      <c r="AM179" s="45"/>
      <c r="AN179" s="45"/>
      <c r="AO179" s="45"/>
      <c r="AP179" s="45"/>
    </row>
    <row r="180" ht="15.75" customHeight="1" spans="34:42" x14ac:dyDescent="0.25">
      <c r="AH180" s="45"/>
      <c r="AI180" s="45"/>
      <c r="AJ180" s="45"/>
      <c r="AK180" s="45"/>
      <c r="AL180" s="45"/>
      <c r="AM180" s="45"/>
      <c r="AN180" s="45"/>
      <c r="AO180" s="45"/>
      <c r="AP180" s="45"/>
    </row>
    <row r="181" ht="15.75" customHeight="1" spans="34:42" x14ac:dyDescent="0.25">
      <c r="AH181" s="45"/>
      <c r="AI181" s="45"/>
      <c r="AJ181" s="45"/>
      <c r="AK181" s="45"/>
      <c r="AL181" s="45"/>
      <c r="AM181" s="45"/>
      <c r="AN181" s="45"/>
      <c r="AO181" s="45"/>
      <c r="AP181" s="45"/>
    </row>
    <row r="182" ht="15.75" customHeight="1" spans="34:42" x14ac:dyDescent="0.25">
      <c r="AH182" s="45"/>
      <c r="AI182" s="45"/>
      <c r="AJ182" s="45"/>
      <c r="AK182" s="45"/>
      <c r="AL182" s="45"/>
      <c r="AM182" s="45"/>
      <c r="AN182" s="45"/>
      <c r="AO182" s="45"/>
      <c r="AP182" s="45"/>
    </row>
    <row r="183" ht="15.75" customHeight="1" spans="34:42" x14ac:dyDescent="0.25">
      <c r="AH183" s="45"/>
      <c r="AI183" s="45"/>
      <c r="AJ183" s="45"/>
      <c r="AK183" s="45"/>
      <c r="AL183" s="45"/>
      <c r="AM183" s="45"/>
      <c r="AN183" s="45"/>
      <c r="AO183" s="45"/>
      <c r="AP183" s="45"/>
    </row>
    <row r="184" ht="15.75" customHeight="1" spans="34:42" x14ac:dyDescent="0.25">
      <c r="AH184" s="45"/>
      <c r="AI184" s="45"/>
      <c r="AJ184" s="45"/>
      <c r="AK184" s="45"/>
      <c r="AL184" s="45"/>
      <c r="AM184" s="45"/>
      <c r="AN184" s="45"/>
      <c r="AO184" s="45"/>
      <c r="AP184" s="45"/>
    </row>
    <row r="185" ht="15.75" customHeight="1" spans="34:42" x14ac:dyDescent="0.25">
      <c r="AH185" s="45"/>
      <c r="AI185" s="45"/>
      <c r="AJ185" s="45"/>
      <c r="AK185" s="45"/>
      <c r="AL185" s="45"/>
      <c r="AM185" s="45"/>
      <c r="AN185" s="45"/>
      <c r="AO185" s="45"/>
      <c r="AP185" s="45"/>
    </row>
    <row r="186" ht="15.75" customHeight="1" spans="34:42" x14ac:dyDescent="0.25">
      <c r="AH186" s="45"/>
      <c r="AI186" s="45"/>
      <c r="AJ186" s="45"/>
      <c r="AK186" s="45"/>
      <c r="AL186" s="45"/>
      <c r="AM186" s="45"/>
      <c r="AN186" s="45"/>
      <c r="AO186" s="45"/>
      <c r="AP186" s="45"/>
    </row>
    <row r="187" ht="15.75" customHeight="1" spans="34:42" x14ac:dyDescent="0.25">
      <c r="AH187" s="45"/>
      <c r="AI187" s="45"/>
      <c r="AJ187" s="45"/>
      <c r="AK187" s="45"/>
      <c r="AL187" s="45"/>
      <c r="AM187" s="45"/>
      <c r="AN187" s="45"/>
      <c r="AO187" s="45"/>
      <c r="AP187" s="45"/>
    </row>
    <row r="188" ht="15.75" customHeight="1" spans="34:42" x14ac:dyDescent="0.25">
      <c r="AH188" s="45"/>
      <c r="AI188" s="45"/>
      <c r="AJ188" s="45"/>
      <c r="AK188" s="45"/>
      <c r="AL188" s="45"/>
      <c r="AM188" s="45"/>
      <c r="AN188" s="45"/>
      <c r="AO188" s="45"/>
      <c r="AP188" s="45"/>
    </row>
    <row r="189" ht="15.75" customHeight="1" spans="34:42" x14ac:dyDescent="0.25">
      <c r="AH189" s="45"/>
      <c r="AI189" s="45"/>
      <c r="AJ189" s="45"/>
      <c r="AK189" s="45"/>
      <c r="AL189" s="45"/>
      <c r="AM189" s="45"/>
      <c r="AN189" s="45"/>
      <c r="AO189" s="45"/>
      <c r="AP189" s="45"/>
    </row>
    <row r="190" ht="15.75" customHeight="1" spans="34:42" x14ac:dyDescent="0.25">
      <c r="AH190" s="45"/>
      <c r="AI190" s="45"/>
      <c r="AJ190" s="45"/>
      <c r="AK190" s="45"/>
      <c r="AL190" s="45"/>
      <c r="AM190" s="45"/>
      <c r="AN190" s="45"/>
      <c r="AO190" s="45"/>
      <c r="AP190" s="45"/>
    </row>
    <row r="191" ht="15.75" customHeight="1" spans="34:42" x14ac:dyDescent="0.25">
      <c r="AH191" s="45"/>
      <c r="AI191" s="45"/>
      <c r="AJ191" s="45"/>
      <c r="AK191" s="45"/>
      <c r="AL191" s="45"/>
      <c r="AM191" s="45"/>
      <c r="AN191" s="45"/>
      <c r="AO191" s="45"/>
      <c r="AP191" s="45"/>
    </row>
    <row r="192" ht="15.75" customHeight="1" spans="34:42" x14ac:dyDescent="0.25">
      <c r="AH192" s="45"/>
      <c r="AI192" s="45"/>
      <c r="AJ192" s="45"/>
      <c r="AK192" s="45"/>
      <c r="AL192" s="45"/>
      <c r="AM192" s="45"/>
      <c r="AN192" s="45"/>
      <c r="AO192" s="45"/>
      <c r="AP192" s="45"/>
    </row>
    <row r="193" ht="15.75" customHeight="1" spans="34:42" x14ac:dyDescent="0.25">
      <c r="AH193" s="45"/>
      <c r="AI193" s="45"/>
      <c r="AJ193" s="45"/>
      <c r="AK193" s="45"/>
      <c r="AL193" s="45"/>
      <c r="AM193" s="45"/>
      <c r="AN193" s="45"/>
      <c r="AO193" s="45"/>
      <c r="AP193" s="45"/>
    </row>
    <row r="194" ht="15.75" customHeight="1" spans="34:42" x14ac:dyDescent="0.25">
      <c r="AH194" s="45"/>
      <c r="AI194" s="45"/>
      <c r="AJ194" s="45"/>
      <c r="AK194" s="45"/>
      <c r="AL194" s="45"/>
      <c r="AM194" s="45"/>
      <c r="AN194" s="45"/>
      <c r="AO194" s="45"/>
      <c r="AP194" s="45"/>
    </row>
    <row r="195" ht="15.75" customHeight="1" spans="34:42" x14ac:dyDescent="0.25">
      <c r="AH195" s="45"/>
      <c r="AI195" s="45"/>
      <c r="AJ195" s="45"/>
      <c r="AK195" s="45"/>
      <c r="AL195" s="45"/>
      <c r="AM195" s="45"/>
      <c r="AN195" s="45"/>
      <c r="AO195" s="45"/>
      <c r="AP195" s="45"/>
    </row>
    <row r="196" ht="15.75" customHeight="1" spans="34:42" x14ac:dyDescent="0.25">
      <c r="AH196" s="45"/>
      <c r="AI196" s="45"/>
      <c r="AJ196" s="45"/>
      <c r="AK196" s="45"/>
      <c r="AL196" s="45"/>
      <c r="AM196" s="45"/>
      <c r="AN196" s="45"/>
      <c r="AO196" s="45"/>
      <c r="AP196" s="45"/>
    </row>
    <row r="197" ht="15.75" customHeight="1" spans="34:42" x14ac:dyDescent="0.25">
      <c r="AH197" s="45"/>
      <c r="AI197" s="45"/>
      <c r="AJ197" s="45"/>
      <c r="AK197" s="45"/>
      <c r="AL197" s="45"/>
      <c r="AM197" s="45"/>
      <c r="AN197" s="45"/>
      <c r="AO197" s="45"/>
      <c r="AP197" s="45"/>
    </row>
    <row r="198" ht="15.75" customHeight="1" spans="34:42" x14ac:dyDescent="0.25">
      <c r="AH198" s="45"/>
      <c r="AI198" s="45"/>
      <c r="AJ198" s="45"/>
      <c r="AK198" s="45"/>
      <c r="AL198" s="45"/>
      <c r="AM198" s="45"/>
      <c r="AN198" s="45"/>
      <c r="AO198" s="45"/>
      <c r="AP198" s="45"/>
    </row>
    <row r="199" ht="15.75" customHeight="1" spans="34:42" x14ac:dyDescent="0.25">
      <c r="AH199" s="45"/>
      <c r="AI199" s="45"/>
      <c r="AJ199" s="45"/>
      <c r="AK199" s="45"/>
      <c r="AL199" s="45"/>
      <c r="AM199" s="45"/>
      <c r="AN199" s="45"/>
      <c r="AO199" s="45"/>
      <c r="AP199" s="45"/>
    </row>
    <row r="200" ht="15.75" customHeight="1" spans="34:42" x14ac:dyDescent="0.25">
      <c r="AH200" s="45"/>
      <c r="AI200" s="45"/>
      <c r="AJ200" s="45"/>
      <c r="AK200" s="45"/>
      <c r="AL200" s="45"/>
      <c r="AM200" s="45"/>
      <c r="AN200" s="45"/>
      <c r="AO200" s="45"/>
      <c r="AP200" s="45"/>
    </row>
    <row r="201" ht="15.75" customHeight="1" spans="34:42" x14ac:dyDescent="0.25">
      <c r="AH201" s="45"/>
      <c r="AI201" s="45"/>
      <c r="AJ201" s="45"/>
      <c r="AK201" s="45"/>
      <c r="AL201" s="45"/>
      <c r="AM201" s="45"/>
      <c r="AN201" s="45"/>
      <c r="AO201" s="45"/>
      <c r="AP201" s="45"/>
    </row>
    <row r="202" ht="15.75" customHeight="1" spans="34:42" x14ac:dyDescent="0.25">
      <c r="AH202" s="45"/>
      <c r="AI202" s="45"/>
      <c r="AJ202" s="45"/>
      <c r="AK202" s="45"/>
      <c r="AL202" s="45"/>
      <c r="AM202" s="45"/>
      <c r="AN202" s="45"/>
      <c r="AO202" s="45"/>
      <c r="AP202" s="45"/>
    </row>
    <row r="203" ht="15.75" customHeight="1" spans="34:42" x14ac:dyDescent="0.25">
      <c r="AH203" s="45"/>
      <c r="AI203" s="45"/>
      <c r="AJ203" s="45"/>
      <c r="AK203" s="45"/>
      <c r="AL203" s="45"/>
      <c r="AM203" s="45"/>
      <c r="AN203" s="45"/>
      <c r="AO203" s="45"/>
      <c r="AP203" s="45"/>
    </row>
    <row r="204" ht="15.75" customHeight="1" spans="34:42" x14ac:dyDescent="0.25">
      <c r="AH204" s="45"/>
      <c r="AI204" s="45"/>
      <c r="AJ204" s="45"/>
      <c r="AK204" s="45"/>
      <c r="AL204" s="45"/>
      <c r="AM204" s="45"/>
      <c r="AN204" s="45"/>
      <c r="AO204" s="45"/>
      <c r="AP204" s="45"/>
    </row>
    <row r="205" ht="15.75" customHeight="1" spans="34:42" x14ac:dyDescent="0.25">
      <c r="AH205" s="45"/>
      <c r="AI205" s="45"/>
      <c r="AJ205" s="45"/>
      <c r="AK205" s="45"/>
      <c r="AL205" s="45"/>
      <c r="AM205" s="45"/>
      <c r="AN205" s="45"/>
      <c r="AO205" s="45"/>
      <c r="AP205" s="45"/>
    </row>
    <row r="206" ht="15.75" customHeight="1" spans="34:42" x14ac:dyDescent="0.25">
      <c r="AH206" s="45"/>
      <c r="AI206" s="45"/>
      <c r="AJ206" s="45"/>
      <c r="AK206" s="45"/>
      <c r="AL206" s="45"/>
      <c r="AM206" s="45"/>
      <c r="AN206" s="45"/>
      <c r="AO206" s="45"/>
      <c r="AP206" s="45"/>
    </row>
    <row r="207" ht="15.75" customHeight="1" spans="34:42" x14ac:dyDescent="0.25">
      <c r="AH207" s="45"/>
      <c r="AI207" s="45"/>
      <c r="AJ207" s="45"/>
      <c r="AK207" s="45"/>
      <c r="AL207" s="45"/>
      <c r="AM207" s="45"/>
      <c r="AN207" s="45"/>
      <c r="AO207" s="45"/>
      <c r="AP207" s="45"/>
    </row>
    <row r="208" ht="15.75" customHeight="1" spans="34:42" x14ac:dyDescent="0.25">
      <c r="AH208" s="45"/>
      <c r="AI208" s="45"/>
      <c r="AJ208" s="45"/>
      <c r="AK208" s="45"/>
      <c r="AL208" s="45"/>
      <c r="AM208" s="45"/>
      <c r="AN208" s="45"/>
      <c r="AO208" s="45"/>
      <c r="AP208" s="45"/>
    </row>
    <row r="209" ht="15.75" customHeight="1" spans="34:42" x14ac:dyDescent="0.25">
      <c r="AH209" s="45"/>
      <c r="AI209" s="45"/>
      <c r="AJ209" s="45"/>
      <c r="AK209" s="45"/>
      <c r="AL209" s="45"/>
      <c r="AM209" s="45"/>
      <c r="AN209" s="45"/>
      <c r="AO209" s="45"/>
      <c r="AP209" s="45"/>
    </row>
    <row r="210" ht="15.75" customHeight="1" spans="34:42" x14ac:dyDescent="0.25">
      <c r="AH210" s="45"/>
      <c r="AI210" s="45"/>
      <c r="AJ210" s="45"/>
      <c r="AK210" s="45"/>
      <c r="AL210" s="45"/>
      <c r="AM210" s="45"/>
      <c r="AN210" s="45"/>
      <c r="AO210" s="45"/>
      <c r="AP210" s="45"/>
    </row>
    <row r="211" ht="15.75" customHeight="1" spans="34:42" x14ac:dyDescent="0.25">
      <c r="AH211" s="45"/>
      <c r="AI211" s="45"/>
      <c r="AJ211" s="45"/>
      <c r="AK211" s="45"/>
      <c r="AL211" s="45"/>
      <c r="AM211" s="45"/>
      <c r="AN211" s="45"/>
      <c r="AO211" s="45"/>
      <c r="AP211" s="45"/>
    </row>
    <row r="212" ht="15.75" customHeight="1" spans="34:42" x14ac:dyDescent="0.25">
      <c r="AH212" s="45"/>
      <c r="AI212" s="45"/>
      <c r="AJ212" s="45"/>
      <c r="AK212" s="45"/>
      <c r="AL212" s="45"/>
      <c r="AM212" s="45"/>
      <c r="AN212" s="45"/>
      <c r="AO212" s="45"/>
      <c r="AP212" s="45"/>
    </row>
    <row r="213" ht="15.75" customHeight="1" spans="34:42" x14ac:dyDescent="0.25">
      <c r="AH213" s="45"/>
      <c r="AI213" s="45"/>
      <c r="AJ213" s="45"/>
      <c r="AK213" s="45"/>
      <c r="AL213" s="45"/>
      <c r="AM213" s="45"/>
      <c r="AN213" s="45"/>
      <c r="AO213" s="45"/>
      <c r="AP213" s="45"/>
    </row>
    <row r="214" ht="15.75" customHeight="1" spans="34:42" x14ac:dyDescent="0.25">
      <c r="AH214" s="45"/>
      <c r="AI214" s="45"/>
      <c r="AJ214" s="45"/>
      <c r="AK214" s="45"/>
      <c r="AL214" s="45"/>
      <c r="AM214" s="45"/>
      <c r="AN214" s="45"/>
      <c r="AO214" s="45"/>
      <c r="AP214" s="45"/>
    </row>
    <row r="215" ht="15.75" customHeight="1" spans="34:42" x14ac:dyDescent="0.25">
      <c r="AH215" s="45"/>
      <c r="AI215" s="45"/>
      <c r="AJ215" s="45"/>
      <c r="AK215" s="45"/>
      <c r="AL215" s="45"/>
      <c r="AM215" s="45"/>
      <c r="AN215" s="45"/>
      <c r="AO215" s="45"/>
      <c r="AP215" s="45"/>
    </row>
    <row r="216" ht="15.75" customHeight="1" spans="34:42" x14ac:dyDescent="0.25">
      <c r="AH216" s="45"/>
      <c r="AI216" s="45"/>
      <c r="AJ216" s="45"/>
      <c r="AK216" s="45"/>
      <c r="AL216" s="45"/>
      <c r="AM216" s="45"/>
      <c r="AN216" s="45"/>
      <c r="AO216" s="45"/>
      <c r="AP216" s="45"/>
    </row>
    <row r="217" ht="15.75" customHeight="1" spans="34:42" x14ac:dyDescent="0.25">
      <c r="AH217" s="45"/>
      <c r="AI217" s="45"/>
      <c r="AJ217" s="45"/>
      <c r="AK217" s="45"/>
      <c r="AL217" s="45"/>
      <c r="AM217" s="45"/>
      <c r="AN217" s="45"/>
      <c r="AO217" s="45"/>
      <c r="AP217" s="45"/>
    </row>
    <row r="218" ht="15.75" customHeight="1" spans="34:42" x14ac:dyDescent="0.25">
      <c r="AH218" s="45"/>
      <c r="AI218" s="45"/>
      <c r="AJ218" s="45"/>
      <c r="AK218" s="45"/>
      <c r="AL218" s="45"/>
      <c r="AM218" s="45"/>
      <c r="AN218" s="45"/>
      <c r="AO218" s="45"/>
      <c r="AP218" s="45"/>
    </row>
    <row r="219" ht="15.75" customHeight="1" spans="34:42" x14ac:dyDescent="0.25">
      <c r="AH219" s="45"/>
      <c r="AI219" s="45"/>
      <c r="AJ219" s="45"/>
      <c r="AK219" s="45"/>
      <c r="AL219" s="45"/>
      <c r="AM219" s="45"/>
      <c r="AN219" s="45"/>
      <c r="AO219" s="45"/>
      <c r="AP219" s="45"/>
    </row>
    <row r="220" ht="15.75" customHeight="1" spans="34:42" x14ac:dyDescent="0.25">
      <c r="AH220" s="45"/>
      <c r="AI220" s="45"/>
      <c r="AJ220" s="45"/>
      <c r="AK220" s="45"/>
      <c r="AL220" s="45"/>
      <c r="AM220" s="45"/>
      <c r="AN220" s="45"/>
      <c r="AO220" s="45"/>
      <c r="AP220" s="45"/>
    </row>
    <row r="221" ht="15.75" customHeight="1" spans="34:42" x14ac:dyDescent="0.25">
      <c r="AH221" s="45"/>
      <c r="AI221" s="45"/>
      <c r="AJ221" s="45"/>
      <c r="AK221" s="45"/>
      <c r="AL221" s="45"/>
      <c r="AM221" s="45"/>
      <c r="AN221" s="45"/>
      <c r="AO221" s="45"/>
      <c r="AP221" s="45"/>
    </row>
    <row r="222" ht="15.75" customHeight="1" spans="34:42" x14ac:dyDescent="0.25">
      <c r="AH222" s="45"/>
      <c r="AI222" s="45"/>
      <c r="AJ222" s="45"/>
      <c r="AK222" s="45"/>
      <c r="AL222" s="45"/>
      <c r="AM222" s="45"/>
      <c r="AN222" s="45"/>
      <c r="AO222" s="45"/>
      <c r="AP222" s="45"/>
    </row>
    <row r="223" ht="15.75" customHeight="1" spans="34:42" x14ac:dyDescent="0.25">
      <c r="AH223" s="45"/>
      <c r="AI223" s="45"/>
      <c r="AJ223" s="45"/>
      <c r="AK223" s="45"/>
      <c r="AL223" s="45"/>
      <c r="AM223" s="45"/>
      <c r="AN223" s="45"/>
      <c r="AO223" s="45"/>
      <c r="AP223" s="45"/>
    </row>
    <row r="224" ht="15.75" customHeight="1" spans="34:42" x14ac:dyDescent="0.25">
      <c r="AH224" s="45"/>
      <c r="AI224" s="45"/>
      <c r="AJ224" s="45"/>
      <c r="AK224" s="45"/>
      <c r="AL224" s="45"/>
      <c r="AM224" s="45"/>
      <c r="AN224" s="45"/>
      <c r="AO224" s="45"/>
      <c r="AP224" s="45"/>
    </row>
    <row r="225" ht="15.75" customHeight="1" spans="34:42" x14ac:dyDescent="0.25">
      <c r="AH225" s="45"/>
      <c r="AI225" s="45"/>
      <c r="AJ225" s="45"/>
      <c r="AK225" s="45"/>
      <c r="AL225" s="45"/>
      <c r="AM225" s="45"/>
      <c r="AN225" s="45"/>
      <c r="AO225" s="45"/>
      <c r="AP225" s="45"/>
    </row>
    <row r="226" ht="15.75" customHeight="1" spans="34:42" x14ac:dyDescent="0.25">
      <c r="AH226" s="45"/>
      <c r="AI226" s="45"/>
      <c r="AJ226" s="45"/>
      <c r="AK226" s="45"/>
      <c r="AL226" s="45"/>
      <c r="AM226" s="45"/>
      <c r="AN226" s="45"/>
      <c r="AO226" s="45"/>
      <c r="AP226" s="45"/>
    </row>
    <row r="227" ht="15.75" customHeight="1" spans="34:42" x14ac:dyDescent="0.25">
      <c r="AH227" s="45"/>
      <c r="AI227" s="45"/>
      <c r="AJ227" s="45"/>
      <c r="AK227" s="45"/>
      <c r="AL227" s="45"/>
      <c r="AM227" s="45"/>
      <c r="AN227" s="45"/>
      <c r="AO227" s="45"/>
      <c r="AP227" s="45"/>
    </row>
    <row r="228" ht="15.75" customHeight="1" spans="34:42" x14ac:dyDescent="0.25">
      <c r="AH228" s="45"/>
      <c r="AI228" s="45"/>
      <c r="AJ228" s="45"/>
      <c r="AK228" s="45"/>
      <c r="AL228" s="45"/>
      <c r="AM228" s="45"/>
      <c r="AN228" s="45"/>
      <c r="AO228" s="45"/>
      <c r="AP228" s="45"/>
    </row>
    <row r="229" ht="15.75" customHeight="1" spans="34:42" x14ac:dyDescent="0.25">
      <c r="AH229" s="45"/>
      <c r="AI229" s="45"/>
      <c r="AJ229" s="45"/>
      <c r="AK229" s="45"/>
      <c r="AL229" s="45"/>
      <c r="AM229" s="45"/>
      <c r="AN229" s="45"/>
      <c r="AO229" s="45"/>
      <c r="AP229" s="45"/>
    </row>
    <row r="230" ht="15.75" customHeight="1" spans="34:42" x14ac:dyDescent="0.25">
      <c r="AH230" s="45"/>
      <c r="AI230" s="45"/>
      <c r="AJ230" s="45"/>
      <c r="AK230" s="45"/>
      <c r="AL230" s="45"/>
      <c r="AM230" s="45"/>
      <c r="AN230" s="45"/>
      <c r="AO230" s="45"/>
      <c r="AP230" s="45"/>
    </row>
    <row r="231" ht="15.75" customHeight="1" spans="34:42" x14ac:dyDescent="0.25">
      <c r="AH231" s="45"/>
      <c r="AI231" s="45"/>
      <c r="AJ231" s="45"/>
      <c r="AK231" s="45"/>
      <c r="AL231" s="45"/>
      <c r="AM231" s="45"/>
      <c r="AN231" s="45"/>
      <c r="AO231" s="45"/>
      <c r="AP231" s="45"/>
    </row>
    <row r="232" ht="15.75" customHeight="1" spans="34:42" x14ac:dyDescent="0.25">
      <c r="AH232" s="45"/>
      <c r="AI232" s="45"/>
      <c r="AJ232" s="45"/>
      <c r="AK232" s="45"/>
      <c r="AL232" s="45"/>
      <c r="AM232" s="45"/>
      <c r="AN232" s="45"/>
      <c r="AO232" s="45"/>
      <c r="AP232" s="45"/>
    </row>
    <row r="233" ht="15.75" customHeight="1" spans="34:42" x14ac:dyDescent="0.25">
      <c r="AH233" s="45"/>
      <c r="AI233" s="45"/>
      <c r="AJ233" s="45"/>
      <c r="AK233" s="45"/>
      <c r="AL233" s="45"/>
      <c r="AM233" s="45"/>
      <c r="AN233" s="45"/>
      <c r="AO233" s="45"/>
      <c r="AP233" s="45"/>
    </row>
    <row r="234" ht="15.75" customHeight="1" spans="34:42" x14ac:dyDescent="0.25">
      <c r="AH234" s="45"/>
      <c r="AI234" s="45"/>
      <c r="AJ234" s="45"/>
      <c r="AK234" s="45"/>
      <c r="AL234" s="45"/>
      <c r="AM234" s="45"/>
      <c r="AN234" s="45"/>
      <c r="AO234" s="45"/>
      <c r="AP234" s="45"/>
    </row>
    <row r="235" ht="15.75" customHeight="1" spans="34:42" x14ac:dyDescent="0.25">
      <c r="AH235" s="45"/>
      <c r="AI235" s="45"/>
      <c r="AJ235" s="45"/>
      <c r="AK235" s="45"/>
      <c r="AL235" s="45"/>
      <c r="AM235" s="45"/>
      <c r="AN235" s="45"/>
      <c r="AO235" s="45"/>
      <c r="AP235" s="45"/>
    </row>
    <row r="236" ht="15.75" customHeight="1" spans="34:42" x14ac:dyDescent="0.25">
      <c r="AH236" s="45"/>
      <c r="AI236" s="45"/>
      <c r="AJ236" s="45"/>
      <c r="AK236" s="45"/>
      <c r="AL236" s="45"/>
      <c r="AM236" s="45"/>
      <c r="AN236" s="45"/>
      <c r="AO236" s="45"/>
      <c r="AP236" s="45"/>
    </row>
    <row r="237" ht="15.75" customHeight="1" spans="34:42" x14ac:dyDescent="0.25">
      <c r="AH237" s="45"/>
      <c r="AI237" s="45"/>
      <c r="AJ237" s="45"/>
      <c r="AK237" s="45"/>
      <c r="AL237" s="45"/>
      <c r="AM237" s="45"/>
      <c r="AN237" s="45"/>
      <c r="AO237" s="45"/>
      <c r="AP237" s="45"/>
    </row>
    <row r="238" ht="15.75" customHeight="1" spans="34:42" x14ac:dyDescent="0.25">
      <c r="AH238" s="45"/>
      <c r="AI238" s="45"/>
      <c r="AJ238" s="45"/>
      <c r="AK238" s="45"/>
      <c r="AL238" s="45"/>
      <c r="AM238" s="45"/>
      <c r="AN238" s="45"/>
      <c r="AO238" s="45"/>
      <c r="AP238" s="45"/>
    </row>
    <row r="239" ht="15.75" customHeight="1" spans="34:42" x14ac:dyDescent="0.25">
      <c r="AH239" s="45"/>
      <c r="AI239" s="45"/>
      <c r="AJ239" s="45"/>
      <c r="AK239" s="45"/>
      <c r="AL239" s="45"/>
      <c r="AM239" s="45"/>
      <c r="AN239" s="45"/>
      <c r="AO239" s="45"/>
      <c r="AP239" s="45"/>
    </row>
    <row r="240" ht="15.75" customHeight="1" spans="34:42" x14ac:dyDescent="0.25">
      <c r="AH240" s="45"/>
      <c r="AI240" s="45"/>
      <c r="AJ240" s="45"/>
      <c r="AK240" s="45"/>
      <c r="AL240" s="45"/>
      <c r="AM240" s="45"/>
      <c r="AN240" s="45"/>
      <c r="AO240" s="45"/>
      <c r="AP240" s="45"/>
    </row>
    <row r="241" ht="15.75" customHeight="1" spans="34:42" x14ac:dyDescent="0.25">
      <c r="AH241" s="45"/>
      <c r="AI241" s="45"/>
      <c r="AJ241" s="45"/>
      <c r="AK241" s="45"/>
      <c r="AL241" s="45"/>
      <c r="AM241" s="45"/>
      <c r="AN241" s="45"/>
      <c r="AO241" s="45"/>
      <c r="AP241" s="45"/>
    </row>
    <row r="242" ht="15.75" customHeight="1" spans="34:42" x14ac:dyDescent="0.25">
      <c r="AH242" s="45"/>
      <c r="AI242" s="45"/>
      <c r="AJ242" s="45"/>
      <c r="AK242" s="45"/>
      <c r="AL242" s="45"/>
      <c r="AM242" s="45"/>
      <c r="AN242" s="45"/>
      <c r="AO242" s="45"/>
      <c r="AP242" s="45"/>
    </row>
    <row r="243" ht="15.75" customHeight="1" spans="34:42" x14ac:dyDescent="0.25">
      <c r="AH243" s="45"/>
      <c r="AI243" s="45"/>
      <c r="AJ243" s="45"/>
      <c r="AK243" s="45"/>
      <c r="AL243" s="45"/>
      <c r="AM243" s="45"/>
      <c r="AN243" s="45"/>
      <c r="AO243" s="45"/>
      <c r="AP243" s="45"/>
    </row>
    <row r="244" ht="15.75" customHeight="1" spans="34:42" x14ac:dyDescent="0.25">
      <c r="AH244" s="45"/>
      <c r="AI244" s="45"/>
      <c r="AJ244" s="45"/>
      <c r="AK244" s="45"/>
      <c r="AL244" s="45"/>
      <c r="AM244" s="45"/>
      <c r="AN244" s="45"/>
      <c r="AO244" s="45"/>
      <c r="AP244" s="45"/>
    </row>
    <row r="245" ht="15.75" customHeight="1" spans="34:42" x14ac:dyDescent="0.25">
      <c r="AH245" s="45"/>
      <c r="AI245" s="45"/>
      <c r="AJ245" s="45"/>
      <c r="AK245" s="45"/>
      <c r="AL245" s="45"/>
      <c r="AM245" s="45"/>
      <c r="AN245" s="45"/>
      <c r="AO245" s="45"/>
      <c r="AP245" s="45"/>
    </row>
    <row r="246" ht="15.75" customHeight="1" spans="34:42" x14ac:dyDescent="0.25">
      <c r="AH246" s="45"/>
      <c r="AI246" s="45"/>
      <c r="AJ246" s="45"/>
      <c r="AK246" s="45"/>
      <c r="AL246" s="45"/>
      <c r="AM246" s="45"/>
      <c r="AN246" s="45"/>
      <c r="AO246" s="45"/>
      <c r="AP246" s="45"/>
    </row>
    <row r="247" ht="15.75" customHeight="1" spans="34:42" x14ac:dyDescent="0.25">
      <c r="AH247" s="45"/>
      <c r="AI247" s="45"/>
      <c r="AJ247" s="45"/>
      <c r="AK247" s="45"/>
      <c r="AL247" s="45"/>
      <c r="AM247" s="45"/>
      <c r="AN247" s="45"/>
      <c r="AO247" s="45"/>
      <c r="AP247" s="45"/>
    </row>
    <row r="248" ht="15.75" customHeight="1" spans="34:42" x14ac:dyDescent="0.25">
      <c r="AH248" s="45"/>
      <c r="AI248" s="45"/>
      <c r="AJ248" s="45"/>
      <c r="AK248" s="45"/>
      <c r="AL248" s="45"/>
      <c r="AM248" s="45"/>
      <c r="AN248" s="45"/>
      <c r="AO248" s="45"/>
      <c r="AP248" s="45"/>
    </row>
    <row r="249" ht="15.75" customHeight="1" spans="34:42" x14ac:dyDescent="0.25">
      <c r="AH249" s="45"/>
      <c r="AI249" s="45"/>
      <c r="AJ249" s="45"/>
      <c r="AK249" s="45"/>
      <c r="AL249" s="45"/>
      <c r="AM249" s="45"/>
      <c r="AN249" s="45"/>
      <c r="AO249" s="45"/>
      <c r="AP249" s="45"/>
    </row>
    <row r="250" ht="15.75" customHeight="1" spans="34:42" x14ac:dyDescent="0.25">
      <c r="AH250" s="45"/>
      <c r="AI250" s="45"/>
      <c r="AJ250" s="45"/>
      <c r="AK250" s="45"/>
      <c r="AL250" s="45"/>
      <c r="AM250" s="45"/>
      <c r="AN250" s="45"/>
      <c r="AO250" s="45"/>
      <c r="AP250" s="45"/>
    </row>
    <row r="251" ht="15.75" customHeight="1" spans="34:42" x14ac:dyDescent="0.25">
      <c r="AH251" s="45"/>
      <c r="AI251" s="45"/>
      <c r="AJ251" s="45"/>
      <c r="AK251" s="45"/>
      <c r="AL251" s="45"/>
      <c r="AM251" s="45"/>
      <c r="AN251" s="45"/>
      <c r="AO251" s="45"/>
      <c r="AP251" s="45"/>
    </row>
    <row r="252" ht="15.75" customHeight="1" spans="34:42" x14ac:dyDescent="0.25">
      <c r="AH252" s="45"/>
      <c r="AI252" s="45"/>
      <c r="AJ252" s="45"/>
      <c r="AK252" s="45"/>
      <c r="AL252" s="45"/>
      <c r="AM252" s="45"/>
      <c r="AN252" s="45"/>
      <c r="AO252" s="45"/>
      <c r="AP252" s="45"/>
    </row>
    <row r="253" ht="15.75" customHeight="1" spans="34:42" x14ac:dyDescent="0.25">
      <c r="AH253" s="45"/>
      <c r="AI253" s="45"/>
      <c r="AJ253" s="45"/>
      <c r="AK253" s="45"/>
      <c r="AL253" s="45"/>
      <c r="AM253" s="45"/>
      <c r="AN253" s="45"/>
      <c r="AO253" s="45"/>
      <c r="AP253" s="45"/>
    </row>
    <row r="254" ht="15.75" customHeight="1" spans="34:42" x14ac:dyDescent="0.25">
      <c r="AH254" s="45"/>
      <c r="AI254" s="45"/>
      <c r="AJ254" s="45"/>
      <c r="AK254" s="45"/>
      <c r="AL254" s="45"/>
      <c r="AM254" s="45"/>
      <c r="AN254" s="45"/>
      <c r="AO254" s="45"/>
      <c r="AP254" s="45"/>
    </row>
    <row r="255" ht="15.75" customHeight="1" spans="34:42" x14ac:dyDescent="0.25">
      <c r="AH255" s="45"/>
      <c r="AI255" s="45"/>
      <c r="AJ255" s="45"/>
      <c r="AK255" s="45"/>
      <c r="AL255" s="45"/>
      <c r="AM255" s="45"/>
      <c r="AN255" s="45"/>
      <c r="AO255" s="45"/>
      <c r="AP255" s="45"/>
    </row>
    <row r="256" ht="15.75" customHeight="1" spans="34:42" x14ac:dyDescent="0.25">
      <c r="AH256" s="45"/>
      <c r="AI256" s="45"/>
      <c r="AJ256" s="45"/>
      <c r="AK256" s="45"/>
      <c r="AL256" s="45"/>
      <c r="AM256" s="45"/>
      <c r="AN256" s="45"/>
      <c r="AO256" s="45"/>
      <c r="AP256" s="45"/>
    </row>
    <row r="257" ht="15.75" customHeight="1" spans="34:42" x14ac:dyDescent="0.25">
      <c r="AH257" s="45"/>
      <c r="AI257" s="45"/>
      <c r="AJ257" s="45"/>
      <c r="AK257" s="45"/>
      <c r="AL257" s="45"/>
      <c r="AM257" s="45"/>
      <c r="AN257" s="45"/>
      <c r="AO257" s="45"/>
      <c r="AP257" s="45"/>
    </row>
    <row r="258" ht="15.75" customHeight="1" spans="34:42" x14ac:dyDescent="0.25">
      <c r="AH258" s="45"/>
      <c r="AI258" s="45"/>
      <c r="AJ258" s="45"/>
      <c r="AK258" s="45"/>
      <c r="AL258" s="45"/>
      <c r="AM258" s="45"/>
      <c r="AN258" s="45"/>
      <c r="AO258" s="45"/>
      <c r="AP258" s="45"/>
    </row>
    <row r="259" ht="15.75" customHeight="1" spans="34:42" x14ac:dyDescent="0.25">
      <c r="AH259" s="45"/>
      <c r="AI259" s="45"/>
      <c r="AJ259" s="45"/>
      <c r="AK259" s="45"/>
      <c r="AL259" s="45"/>
      <c r="AM259" s="45"/>
      <c r="AN259" s="45"/>
      <c r="AO259" s="45"/>
      <c r="AP259" s="45"/>
    </row>
    <row r="260" ht="15.75" customHeight="1" spans="34:42" x14ac:dyDescent="0.25">
      <c r="AH260" s="45"/>
      <c r="AI260" s="45"/>
      <c r="AJ260" s="45"/>
      <c r="AK260" s="45"/>
      <c r="AL260" s="45"/>
      <c r="AM260" s="45"/>
      <c r="AN260" s="45"/>
      <c r="AO260" s="45"/>
      <c r="AP260" s="45"/>
    </row>
    <row r="261" ht="15.75" customHeight="1" spans="34:42" x14ac:dyDescent="0.25">
      <c r="AH261" s="45"/>
      <c r="AI261" s="45"/>
      <c r="AJ261" s="45"/>
      <c r="AK261" s="45"/>
      <c r="AL261" s="45"/>
      <c r="AM261" s="45"/>
      <c r="AN261" s="45"/>
      <c r="AO261" s="45"/>
      <c r="AP261" s="45"/>
    </row>
    <row r="262" ht="15.75" customHeight="1" spans="34:42" x14ac:dyDescent="0.25">
      <c r="AH262" s="45"/>
      <c r="AI262" s="45"/>
      <c r="AJ262" s="45"/>
      <c r="AK262" s="45"/>
      <c r="AL262" s="45"/>
      <c r="AM262" s="45"/>
      <c r="AN262" s="45"/>
      <c r="AO262" s="45"/>
      <c r="AP262" s="45"/>
    </row>
    <row r="263" ht="15.75" customHeight="1" spans="34:42" x14ac:dyDescent="0.25">
      <c r="AH263" s="45"/>
      <c r="AI263" s="45"/>
      <c r="AJ263" s="45"/>
      <c r="AK263" s="45"/>
      <c r="AL263" s="45"/>
      <c r="AM263" s="45"/>
      <c r="AN263" s="45"/>
      <c r="AO263" s="45"/>
      <c r="AP263" s="45"/>
    </row>
    <row r="264" ht="15.75" customHeight="1" spans="34:42" x14ac:dyDescent="0.25">
      <c r="AH264" s="45"/>
      <c r="AI264" s="45"/>
      <c r="AJ264" s="45"/>
      <c r="AK264" s="45"/>
      <c r="AL264" s="45"/>
      <c r="AM264" s="45"/>
      <c r="AN264" s="45"/>
      <c r="AO264" s="45"/>
      <c r="AP264" s="45"/>
    </row>
    <row r="265" ht="15.75" customHeight="1" spans="34:42" x14ac:dyDescent="0.25">
      <c r="AH265" s="45"/>
      <c r="AI265" s="45"/>
      <c r="AJ265" s="45"/>
      <c r="AK265" s="45"/>
      <c r="AL265" s="45"/>
      <c r="AM265" s="45"/>
      <c r="AN265" s="45"/>
      <c r="AO265" s="45"/>
      <c r="AP265" s="45"/>
    </row>
    <row r="266" ht="15.75" customHeight="1" spans="34:42" x14ac:dyDescent="0.25">
      <c r="AH266" s="45"/>
      <c r="AI266" s="45"/>
      <c r="AJ266" s="45"/>
      <c r="AK266" s="45"/>
      <c r="AL266" s="45"/>
      <c r="AM266" s="45"/>
      <c r="AN266" s="45"/>
      <c r="AO266" s="45"/>
      <c r="AP266" s="45"/>
    </row>
    <row r="267" ht="15.75" customHeight="1" spans="34:42" x14ac:dyDescent="0.25">
      <c r="AH267" s="45"/>
      <c r="AI267" s="45"/>
      <c r="AJ267" s="45"/>
      <c r="AK267" s="45"/>
      <c r="AL267" s="45"/>
      <c r="AM267" s="45"/>
      <c r="AN267" s="45"/>
      <c r="AO267" s="45"/>
      <c r="AP267" s="45"/>
    </row>
    <row r="268" ht="15.75" customHeight="1" spans="34:42" x14ac:dyDescent="0.25">
      <c r="AH268" s="45"/>
      <c r="AI268" s="45"/>
      <c r="AJ268" s="45"/>
      <c r="AK268" s="45"/>
      <c r="AL268" s="45"/>
      <c r="AM268" s="45"/>
      <c r="AN268" s="45"/>
      <c r="AO268" s="45"/>
      <c r="AP268" s="45"/>
    </row>
    <row r="269" ht="15.75" customHeight="1" spans="34:42" x14ac:dyDescent="0.25">
      <c r="AH269" s="45"/>
      <c r="AI269" s="45"/>
      <c r="AJ269" s="45"/>
      <c r="AK269" s="45"/>
      <c r="AL269" s="45"/>
      <c r="AM269" s="45"/>
      <c r="AN269" s="45"/>
      <c r="AO269" s="45"/>
      <c r="AP269" s="45"/>
    </row>
    <row r="270" ht="15.75" customHeight="1" spans="34:42" x14ac:dyDescent="0.25">
      <c r="AH270" s="45"/>
      <c r="AI270" s="45"/>
      <c r="AJ270" s="45"/>
      <c r="AK270" s="45"/>
      <c r="AL270" s="45"/>
      <c r="AM270" s="45"/>
      <c r="AN270" s="45"/>
      <c r="AO270" s="45"/>
      <c r="AP270" s="45"/>
    </row>
    <row r="271" ht="15.75" customHeight="1" spans="34:42" x14ac:dyDescent="0.25">
      <c r="AH271" s="45"/>
      <c r="AI271" s="45"/>
      <c r="AJ271" s="45"/>
      <c r="AK271" s="45"/>
      <c r="AL271" s="45"/>
      <c r="AM271" s="45"/>
      <c r="AN271" s="45"/>
      <c r="AO271" s="45"/>
      <c r="AP271" s="45"/>
    </row>
    <row r="272" ht="15.75" customHeight="1" spans="34:42" x14ac:dyDescent="0.25">
      <c r="AH272" s="45"/>
      <c r="AI272" s="45"/>
      <c r="AJ272" s="45"/>
      <c r="AK272" s="45"/>
      <c r="AL272" s="45"/>
      <c r="AM272" s="45"/>
      <c r="AN272" s="45"/>
      <c r="AO272" s="45"/>
      <c r="AP272" s="45"/>
    </row>
    <row r="273" ht="15.75" customHeight="1" spans="34:42" x14ac:dyDescent="0.25">
      <c r="AH273" s="45"/>
      <c r="AI273" s="45"/>
      <c r="AJ273" s="45"/>
      <c r="AK273" s="45"/>
      <c r="AL273" s="45"/>
      <c r="AM273" s="45"/>
      <c r="AN273" s="45"/>
      <c r="AO273" s="45"/>
      <c r="AP273" s="45"/>
    </row>
    <row r="274" ht="15.75" customHeight="1" spans="34:42" x14ac:dyDescent="0.25">
      <c r="AH274" s="45"/>
      <c r="AI274" s="45"/>
      <c r="AJ274" s="45"/>
      <c r="AK274" s="45"/>
      <c r="AL274" s="45"/>
      <c r="AM274" s="45"/>
      <c r="AN274" s="45"/>
      <c r="AO274" s="45"/>
      <c r="AP274" s="45"/>
    </row>
    <row r="275" ht="15.75" customHeight="1" spans="34:42" x14ac:dyDescent="0.25">
      <c r="AH275" s="45"/>
      <c r="AI275" s="45"/>
      <c r="AJ275" s="45"/>
      <c r="AK275" s="45"/>
      <c r="AL275" s="45"/>
      <c r="AM275" s="45"/>
      <c r="AN275" s="45"/>
      <c r="AO275" s="45"/>
      <c r="AP275" s="45"/>
    </row>
    <row r="276" ht="15.75" customHeight="1" spans="34:42" x14ac:dyDescent="0.25">
      <c r="AH276" s="45"/>
      <c r="AI276" s="45"/>
      <c r="AJ276" s="45"/>
      <c r="AK276" s="45"/>
      <c r="AL276" s="45"/>
      <c r="AM276" s="45"/>
      <c r="AN276" s="45"/>
      <c r="AO276" s="45"/>
      <c r="AP276" s="45"/>
    </row>
    <row r="277" ht="15.75" customHeight="1" spans="34:42" x14ac:dyDescent="0.25">
      <c r="AH277" s="45"/>
      <c r="AI277" s="45"/>
      <c r="AJ277" s="45"/>
      <c r="AK277" s="45"/>
      <c r="AL277" s="45"/>
      <c r="AM277" s="45"/>
      <c r="AN277" s="45"/>
      <c r="AO277" s="45"/>
      <c r="AP277" s="45"/>
    </row>
    <row r="278" ht="15.75" customHeight="1" spans="34:42" x14ac:dyDescent="0.25">
      <c r="AH278" s="45"/>
      <c r="AI278" s="45"/>
      <c r="AJ278" s="45"/>
      <c r="AK278" s="45"/>
      <c r="AL278" s="45"/>
      <c r="AM278" s="45"/>
      <c r="AN278" s="45"/>
      <c r="AO278" s="45"/>
      <c r="AP278" s="45"/>
    </row>
    <row r="279" ht="15.75" customHeight="1" spans="34:42" x14ac:dyDescent="0.25">
      <c r="AH279" s="45"/>
      <c r="AI279" s="45"/>
      <c r="AJ279" s="45"/>
      <c r="AK279" s="45"/>
      <c r="AL279" s="45"/>
      <c r="AM279" s="45"/>
      <c r="AN279" s="45"/>
      <c r="AO279" s="45"/>
      <c r="AP279" s="45"/>
    </row>
    <row r="280" ht="15.75" customHeight="1" spans="34:42" x14ac:dyDescent="0.25">
      <c r="AH280" s="45"/>
      <c r="AI280" s="45"/>
      <c r="AJ280" s="45"/>
      <c r="AK280" s="45"/>
      <c r="AL280" s="45"/>
      <c r="AM280" s="45"/>
      <c r="AN280" s="45"/>
      <c r="AO280" s="45"/>
      <c r="AP280" s="45"/>
    </row>
    <row r="281" ht="15.75" customHeight="1" spans="34:42" x14ac:dyDescent="0.25">
      <c r="AH281" s="45"/>
      <c r="AI281" s="45"/>
      <c r="AJ281" s="45"/>
      <c r="AK281" s="45"/>
      <c r="AL281" s="45"/>
      <c r="AM281" s="45"/>
      <c r="AN281" s="45"/>
      <c r="AO281" s="45"/>
      <c r="AP281" s="45"/>
    </row>
    <row r="282" ht="15.75" customHeight="1" spans="34:42" x14ac:dyDescent="0.25">
      <c r="AH282" s="45"/>
      <c r="AI282" s="45"/>
      <c r="AJ282" s="45"/>
      <c r="AK282" s="45"/>
      <c r="AL282" s="45"/>
      <c r="AM282" s="45"/>
      <c r="AN282" s="45"/>
      <c r="AO282" s="45"/>
      <c r="AP282" s="45"/>
    </row>
    <row r="283" ht="15.75" customHeight="1" spans="34:42" x14ac:dyDescent="0.25">
      <c r="AH283" s="45"/>
      <c r="AI283" s="45"/>
      <c r="AJ283" s="45"/>
      <c r="AK283" s="45"/>
      <c r="AL283" s="45"/>
      <c r="AM283" s="45"/>
      <c r="AN283" s="45"/>
      <c r="AO283" s="45"/>
      <c r="AP283" s="45"/>
    </row>
    <row r="284" ht="15.75" customHeight="1" spans="34:42" x14ac:dyDescent="0.25">
      <c r="AH284" s="45"/>
      <c r="AI284" s="45"/>
      <c r="AJ284" s="45"/>
      <c r="AK284" s="45"/>
      <c r="AL284" s="45"/>
      <c r="AM284" s="45"/>
      <c r="AN284" s="45"/>
      <c r="AO284" s="45"/>
      <c r="AP284" s="45"/>
    </row>
    <row r="285" ht="15.75" customHeight="1" spans="34:42" x14ac:dyDescent="0.25">
      <c r="AH285" s="45"/>
      <c r="AI285" s="45"/>
      <c r="AJ285" s="45"/>
      <c r="AK285" s="45"/>
      <c r="AL285" s="45"/>
      <c r="AM285" s="45"/>
      <c r="AN285" s="45"/>
      <c r="AO285" s="45"/>
      <c r="AP285" s="45"/>
    </row>
    <row r="286" ht="15.75" customHeight="1" spans="34:42" x14ac:dyDescent="0.25">
      <c r="AH286" s="45"/>
      <c r="AI286" s="45"/>
      <c r="AJ286" s="45"/>
      <c r="AK286" s="45"/>
      <c r="AL286" s="45"/>
      <c r="AM286" s="45"/>
      <c r="AN286" s="45"/>
      <c r="AO286" s="45"/>
      <c r="AP286" s="45"/>
    </row>
    <row r="287" ht="15.75" customHeight="1" spans="34:42" x14ac:dyDescent="0.25">
      <c r="AH287" s="45"/>
      <c r="AI287" s="45"/>
      <c r="AJ287" s="45"/>
      <c r="AK287" s="45"/>
      <c r="AL287" s="45"/>
      <c r="AM287" s="45"/>
      <c r="AN287" s="45"/>
      <c r="AO287" s="45"/>
      <c r="AP287" s="45"/>
    </row>
    <row r="288" ht="15.75" customHeight="1" spans="34:42" x14ac:dyDescent="0.25">
      <c r="AH288" s="45"/>
      <c r="AI288" s="45"/>
      <c r="AJ288" s="45"/>
      <c r="AK288" s="45"/>
      <c r="AL288" s="45"/>
      <c r="AM288" s="45"/>
      <c r="AN288" s="45"/>
      <c r="AO288" s="45"/>
      <c r="AP288" s="45"/>
    </row>
    <row r="289" ht="15.75" customHeight="1" spans="34:42" x14ac:dyDescent="0.25">
      <c r="AH289" s="45"/>
      <c r="AI289" s="45"/>
      <c r="AJ289" s="45"/>
      <c r="AK289" s="45"/>
      <c r="AL289" s="45"/>
      <c r="AM289" s="45"/>
      <c r="AN289" s="45"/>
      <c r="AO289" s="45"/>
      <c r="AP289" s="45"/>
    </row>
    <row r="290" ht="15.75" customHeight="1" spans="34:42" x14ac:dyDescent="0.25">
      <c r="AH290" s="45"/>
      <c r="AI290" s="45"/>
      <c r="AJ290" s="45"/>
      <c r="AK290" s="45"/>
      <c r="AL290" s="45"/>
      <c r="AM290" s="45"/>
      <c r="AN290" s="45"/>
      <c r="AO290" s="45"/>
      <c r="AP290" s="45"/>
    </row>
    <row r="291" ht="15.75" customHeight="1" spans="34:42" x14ac:dyDescent="0.25">
      <c r="AH291" s="45"/>
      <c r="AI291" s="45"/>
      <c r="AJ291" s="45"/>
      <c r="AK291" s="45"/>
      <c r="AL291" s="45"/>
      <c r="AM291" s="45"/>
      <c r="AN291" s="45"/>
      <c r="AO291" s="45"/>
      <c r="AP291" s="45"/>
    </row>
    <row r="292" ht="15.75" customHeight="1" spans="34:42" x14ac:dyDescent="0.25">
      <c r="AH292" s="45"/>
      <c r="AI292" s="45"/>
      <c r="AJ292" s="45"/>
      <c r="AK292" s="45"/>
      <c r="AL292" s="45"/>
      <c r="AM292" s="45"/>
      <c r="AN292" s="45"/>
      <c r="AO292" s="45"/>
      <c r="AP292" s="45"/>
    </row>
    <row r="293" ht="15.75" customHeight="1" spans="34:42" x14ac:dyDescent="0.25">
      <c r="AH293" s="45"/>
      <c r="AI293" s="45"/>
      <c r="AJ293" s="45"/>
      <c r="AK293" s="45"/>
      <c r="AL293" s="45"/>
      <c r="AM293" s="45"/>
      <c r="AN293" s="45"/>
      <c r="AO293" s="45"/>
      <c r="AP293" s="45"/>
    </row>
    <row r="294" ht="15.75" customHeight="1" spans="34:42" x14ac:dyDescent="0.25">
      <c r="AH294" s="45"/>
      <c r="AI294" s="45"/>
      <c r="AJ294" s="45"/>
      <c r="AK294" s="45"/>
      <c r="AL294" s="45"/>
      <c r="AM294" s="45"/>
      <c r="AN294" s="45"/>
      <c r="AO294" s="45"/>
      <c r="AP294" s="45"/>
    </row>
    <row r="295" ht="15.75" customHeight="1" spans="34:42" x14ac:dyDescent="0.25">
      <c r="AH295" s="45"/>
      <c r="AI295" s="45"/>
      <c r="AJ295" s="45"/>
      <c r="AK295" s="45"/>
      <c r="AL295" s="45"/>
      <c r="AM295" s="45"/>
      <c r="AN295" s="45"/>
      <c r="AO295" s="45"/>
      <c r="AP295" s="45"/>
    </row>
    <row r="296" ht="15.75" customHeight="1" spans="34:42" x14ac:dyDescent="0.25">
      <c r="AH296" s="45"/>
      <c r="AI296" s="45"/>
      <c r="AJ296" s="45"/>
      <c r="AK296" s="45"/>
      <c r="AL296" s="45"/>
      <c r="AM296" s="45"/>
      <c r="AN296" s="45"/>
      <c r="AO296" s="45"/>
      <c r="AP296" s="45"/>
    </row>
    <row r="297" ht="15.75" customHeight="1" spans="34:42" x14ac:dyDescent="0.25">
      <c r="AH297" s="45"/>
      <c r="AI297" s="45"/>
      <c r="AJ297" s="45"/>
      <c r="AK297" s="45"/>
      <c r="AL297" s="45"/>
      <c r="AM297" s="45"/>
      <c r="AN297" s="45"/>
      <c r="AO297" s="45"/>
      <c r="AP297" s="45"/>
    </row>
    <row r="298" ht="15.75" customHeight="1" spans="34:42" x14ac:dyDescent="0.25">
      <c r="AH298" s="45"/>
      <c r="AI298" s="45"/>
      <c r="AJ298" s="45"/>
      <c r="AK298" s="45"/>
      <c r="AL298" s="45"/>
      <c r="AM298" s="45"/>
      <c r="AN298" s="45"/>
      <c r="AO298" s="45"/>
      <c r="AP298" s="45"/>
    </row>
    <row r="299" ht="15.75" customHeight="1" spans="34:42" x14ac:dyDescent="0.25">
      <c r="AH299" s="45"/>
      <c r="AI299" s="45"/>
      <c r="AJ299" s="45"/>
      <c r="AK299" s="45"/>
      <c r="AL299" s="45"/>
      <c r="AM299" s="45"/>
      <c r="AN299" s="45"/>
      <c r="AO299" s="45"/>
      <c r="AP299" s="45"/>
    </row>
    <row r="300" ht="15.75" customHeight="1" spans="34:42" x14ac:dyDescent="0.25">
      <c r="AH300" s="45"/>
      <c r="AI300" s="45"/>
      <c r="AJ300" s="45"/>
      <c r="AK300" s="45"/>
      <c r="AL300" s="45"/>
      <c r="AM300" s="45"/>
      <c r="AN300" s="45"/>
      <c r="AO300" s="45"/>
      <c r="AP300" s="45"/>
    </row>
    <row r="301" ht="15.75" customHeight="1" spans="34:42" x14ac:dyDescent="0.25">
      <c r="AH301" s="45"/>
      <c r="AI301" s="45"/>
      <c r="AJ301" s="45"/>
      <c r="AK301" s="45"/>
      <c r="AL301" s="45"/>
      <c r="AM301" s="45"/>
      <c r="AN301" s="45"/>
      <c r="AO301" s="45"/>
      <c r="AP301" s="45"/>
    </row>
    <row r="302" ht="15.75" customHeight="1" spans="34:42" x14ac:dyDescent="0.25">
      <c r="AH302" s="45"/>
      <c r="AI302" s="45"/>
      <c r="AJ302" s="45"/>
      <c r="AK302" s="45"/>
      <c r="AL302" s="45"/>
      <c r="AM302" s="45"/>
      <c r="AN302" s="45"/>
      <c r="AO302" s="45"/>
      <c r="AP302" s="45"/>
    </row>
    <row r="303" ht="15.75" customHeight="1" spans="34:42" x14ac:dyDescent="0.25">
      <c r="AH303" s="45"/>
      <c r="AI303" s="45"/>
      <c r="AJ303" s="45"/>
      <c r="AK303" s="45"/>
      <c r="AL303" s="45"/>
      <c r="AM303" s="45"/>
      <c r="AN303" s="45"/>
      <c r="AO303" s="45"/>
      <c r="AP303" s="45"/>
    </row>
    <row r="304" ht="15.75" customHeight="1" spans="34:42" x14ac:dyDescent="0.25">
      <c r="AH304" s="45"/>
      <c r="AI304" s="45"/>
      <c r="AJ304" s="45"/>
      <c r="AK304" s="45"/>
      <c r="AL304" s="45"/>
      <c r="AM304" s="45"/>
      <c r="AN304" s="45"/>
      <c r="AO304" s="45"/>
      <c r="AP304" s="45"/>
    </row>
    <row r="305" ht="15.75" customHeight="1" spans="34:42" x14ac:dyDescent="0.25">
      <c r="AH305" s="45"/>
      <c r="AI305" s="45"/>
      <c r="AJ305" s="45"/>
      <c r="AK305" s="45"/>
      <c r="AL305" s="45"/>
      <c r="AM305" s="45"/>
      <c r="AN305" s="45"/>
      <c r="AO305" s="45"/>
      <c r="AP305" s="45"/>
    </row>
    <row r="306" ht="15.75" customHeight="1" spans="34:42" x14ac:dyDescent="0.25">
      <c r="AH306" s="45"/>
      <c r="AI306" s="45"/>
      <c r="AJ306" s="45"/>
      <c r="AK306" s="45"/>
      <c r="AL306" s="45"/>
      <c r="AM306" s="45"/>
      <c r="AN306" s="45"/>
      <c r="AO306" s="45"/>
      <c r="AP306" s="45"/>
    </row>
    <row r="307" ht="15.75" customHeight="1" spans="34:42" x14ac:dyDescent="0.25">
      <c r="AH307" s="45"/>
      <c r="AI307" s="45"/>
      <c r="AJ307" s="45"/>
      <c r="AK307" s="45"/>
      <c r="AL307" s="45"/>
      <c r="AM307" s="45"/>
      <c r="AN307" s="45"/>
      <c r="AO307" s="45"/>
      <c r="AP307" s="45"/>
    </row>
    <row r="308" ht="15.75" customHeight="1" spans="34:42" x14ac:dyDescent="0.25">
      <c r="AH308" s="45"/>
      <c r="AI308" s="45"/>
      <c r="AJ308" s="45"/>
      <c r="AK308" s="45"/>
      <c r="AL308" s="45"/>
      <c r="AM308" s="45"/>
      <c r="AN308" s="45"/>
      <c r="AO308" s="45"/>
      <c r="AP308" s="45"/>
    </row>
    <row r="309" ht="15.75" customHeight="1" spans="34:42" x14ac:dyDescent="0.25">
      <c r="AH309" s="45"/>
      <c r="AI309" s="45"/>
      <c r="AJ309" s="45"/>
      <c r="AK309" s="45"/>
      <c r="AL309" s="45"/>
      <c r="AM309" s="45"/>
      <c r="AN309" s="45"/>
      <c r="AO309" s="45"/>
      <c r="AP309" s="45"/>
    </row>
    <row r="310" ht="15.75" customHeight="1" spans="34:42" x14ac:dyDescent="0.25">
      <c r="AH310" s="45"/>
      <c r="AI310" s="45"/>
      <c r="AJ310" s="45"/>
      <c r="AK310" s="45"/>
      <c r="AL310" s="45"/>
      <c r="AM310" s="45"/>
      <c r="AN310" s="45"/>
      <c r="AO310" s="45"/>
      <c r="AP310" s="45"/>
    </row>
    <row r="311" ht="15.75" customHeight="1" spans="34:42" x14ac:dyDescent="0.25">
      <c r="AH311" s="45"/>
      <c r="AI311" s="45"/>
      <c r="AJ311" s="45"/>
      <c r="AK311" s="45"/>
      <c r="AL311" s="45"/>
      <c r="AM311" s="45"/>
      <c r="AN311" s="45"/>
      <c r="AO311" s="45"/>
      <c r="AP311" s="45"/>
    </row>
    <row r="312" ht="15.75" customHeight="1" spans="34:42" x14ac:dyDescent="0.25">
      <c r="AH312" s="45"/>
      <c r="AI312" s="45"/>
      <c r="AJ312" s="45"/>
      <c r="AK312" s="45"/>
      <c r="AL312" s="45"/>
      <c r="AM312" s="45"/>
      <c r="AN312" s="45"/>
      <c r="AO312" s="45"/>
      <c r="AP312" s="45"/>
    </row>
    <row r="313" ht="15.75" customHeight="1" spans="34:42" x14ac:dyDescent="0.25">
      <c r="AH313" s="45"/>
      <c r="AI313" s="45"/>
      <c r="AJ313" s="45"/>
      <c r="AK313" s="45"/>
      <c r="AL313" s="45"/>
      <c r="AM313" s="45"/>
      <c r="AN313" s="45"/>
      <c r="AO313" s="45"/>
      <c r="AP313" s="45"/>
    </row>
    <row r="314" ht="15.75" customHeight="1" spans="34:42" x14ac:dyDescent="0.25">
      <c r="AH314" s="45"/>
      <c r="AI314" s="45"/>
      <c r="AJ314" s="45"/>
      <c r="AK314" s="45"/>
      <c r="AL314" s="45"/>
      <c r="AM314" s="45"/>
      <c r="AN314" s="45"/>
      <c r="AO314" s="45"/>
      <c r="AP314" s="45"/>
    </row>
    <row r="315" ht="15.75" customHeight="1" spans="34:42" x14ac:dyDescent="0.25">
      <c r="AH315" s="45"/>
      <c r="AI315" s="45"/>
      <c r="AJ315" s="45"/>
      <c r="AK315" s="45"/>
      <c r="AL315" s="45"/>
      <c r="AM315" s="45"/>
      <c r="AN315" s="45"/>
      <c r="AO315" s="45"/>
      <c r="AP315" s="45"/>
    </row>
    <row r="316" ht="15.75" customHeight="1" spans="34:42" x14ac:dyDescent="0.25">
      <c r="AH316" s="45"/>
      <c r="AI316" s="45"/>
      <c r="AJ316" s="45"/>
      <c r="AK316" s="45"/>
      <c r="AL316" s="45"/>
      <c r="AM316" s="45"/>
      <c r="AN316" s="45"/>
      <c r="AO316" s="45"/>
      <c r="AP316" s="45"/>
    </row>
    <row r="317" ht="15.75" customHeight="1" spans="34:42" x14ac:dyDescent="0.25">
      <c r="AH317" s="45"/>
      <c r="AI317" s="45"/>
      <c r="AJ317" s="45"/>
      <c r="AK317" s="45"/>
      <c r="AL317" s="45"/>
      <c r="AM317" s="45"/>
      <c r="AN317" s="45"/>
      <c r="AO317" s="45"/>
      <c r="AP317" s="45"/>
    </row>
    <row r="318" ht="15.75" customHeight="1" spans="34:42" x14ac:dyDescent="0.25">
      <c r="AH318" s="45"/>
      <c r="AI318" s="45"/>
      <c r="AJ318" s="45"/>
      <c r="AK318" s="45"/>
      <c r="AL318" s="45"/>
      <c r="AM318" s="45"/>
      <c r="AN318" s="45"/>
      <c r="AO318" s="45"/>
      <c r="AP318" s="45"/>
    </row>
    <row r="319" ht="15.75" customHeight="1" spans="34:42" x14ac:dyDescent="0.25">
      <c r="AH319" s="45"/>
      <c r="AI319" s="45"/>
      <c r="AJ319" s="45"/>
      <c r="AK319" s="45"/>
      <c r="AL319" s="45"/>
      <c r="AM319" s="45"/>
      <c r="AN319" s="45"/>
      <c r="AO319" s="45"/>
      <c r="AP319" s="45"/>
    </row>
    <row r="320" ht="15.75" customHeight="1" spans="34:42" x14ac:dyDescent="0.25">
      <c r="AH320" s="45"/>
      <c r="AI320" s="45"/>
      <c r="AJ320" s="45"/>
      <c r="AK320" s="45"/>
      <c r="AL320" s="45"/>
      <c r="AM320" s="45"/>
      <c r="AN320" s="45"/>
      <c r="AO320" s="45"/>
      <c r="AP320" s="45"/>
    </row>
    <row r="321" ht="15.75" customHeight="1" spans="34:42" x14ac:dyDescent="0.25">
      <c r="AH321" s="45"/>
      <c r="AI321" s="45"/>
      <c r="AJ321" s="45"/>
      <c r="AK321" s="45"/>
      <c r="AL321" s="45"/>
      <c r="AM321" s="45"/>
      <c r="AN321" s="45"/>
      <c r="AO321" s="45"/>
      <c r="AP321" s="45"/>
    </row>
    <row r="322" ht="15.75" customHeight="1" spans="34:42" x14ac:dyDescent="0.25">
      <c r="AH322" s="45"/>
      <c r="AI322" s="45"/>
      <c r="AJ322" s="45"/>
      <c r="AK322" s="45"/>
      <c r="AL322" s="45"/>
      <c r="AM322" s="45"/>
      <c r="AN322" s="45"/>
      <c r="AO322" s="45"/>
      <c r="AP322" s="45"/>
    </row>
    <row r="323" ht="15.75" customHeight="1" spans="34:42" x14ac:dyDescent="0.25">
      <c r="AH323" s="45"/>
      <c r="AI323" s="45"/>
      <c r="AJ323" s="45"/>
      <c r="AK323" s="45"/>
      <c r="AL323" s="45"/>
      <c r="AM323" s="45"/>
      <c r="AN323" s="45"/>
      <c r="AO323" s="45"/>
      <c r="AP323" s="45"/>
    </row>
    <row r="324" ht="15.75" customHeight="1" spans="34:42" x14ac:dyDescent="0.25">
      <c r="AH324" s="45"/>
      <c r="AI324" s="45"/>
      <c r="AJ324" s="45"/>
      <c r="AK324" s="45"/>
      <c r="AL324" s="45"/>
      <c r="AM324" s="45"/>
      <c r="AN324" s="45"/>
      <c r="AO324" s="45"/>
      <c r="AP324" s="45"/>
    </row>
    <row r="325" ht="15.75" customHeight="1" spans="34:42" x14ac:dyDescent="0.25">
      <c r="AH325" s="45"/>
      <c r="AI325" s="45"/>
      <c r="AJ325" s="45"/>
      <c r="AK325" s="45"/>
      <c r="AL325" s="45"/>
      <c r="AM325" s="45"/>
      <c r="AN325" s="45"/>
      <c r="AO325" s="45"/>
      <c r="AP325" s="45"/>
    </row>
    <row r="326" ht="15.75" customHeight="1" spans="34:42" x14ac:dyDescent="0.25">
      <c r="AH326" s="45"/>
      <c r="AI326" s="45"/>
      <c r="AJ326" s="45"/>
      <c r="AK326" s="45"/>
      <c r="AL326" s="45"/>
      <c r="AM326" s="45"/>
      <c r="AN326" s="45"/>
      <c r="AO326" s="45"/>
      <c r="AP326" s="45"/>
    </row>
    <row r="327" ht="15.75" customHeight="1" spans="34:42" x14ac:dyDescent="0.25">
      <c r="AH327" s="45"/>
      <c r="AI327" s="45"/>
      <c r="AJ327" s="45"/>
      <c r="AK327" s="45"/>
      <c r="AL327" s="45"/>
      <c r="AM327" s="45"/>
      <c r="AN327" s="45"/>
      <c r="AO327" s="45"/>
      <c r="AP327" s="45"/>
    </row>
    <row r="328" ht="15.75" customHeight="1" spans="34:42" x14ac:dyDescent="0.25">
      <c r="AH328" s="45"/>
      <c r="AI328" s="45"/>
      <c r="AJ328" s="45"/>
      <c r="AK328" s="45"/>
      <c r="AL328" s="45"/>
      <c r="AM328" s="45"/>
      <c r="AN328" s="45"/>
      <c r="AO328" s="45"/>
      <c r="AP328" s="45"/>
    </row>
    <row r="329" ht="15.75" customHeight="1" spans="34:42" x14ac:dyDescent="0.25">
      <c r="AH329" s="45"/>
      <c r="AI329" s="45"/>
      <c r="AJ329" s="45"/>
      <c r="AK329" s="45"/>
      <c r="AL329" s="45"/>
      <c r="AM329" s="45"/>
      <c r="AN329" s="45"/>
      <c r="AO329" s="45"/>
      <c r="AP329" s="45"/>
    </row>
    <row r="330" ht="15.75" customHeight="1" spans="34:42" x14ac:dyDescent="0.25">
      <c r="AH330" s="45"/>
      <c r="AI330" s="45"/>
      <c r="AJ330" s="45"/>
      <c r="AK330" s="45"/>
      <c r="AL330" s="45"/>
      <c r="AM330" s="45"/>
      <c r="AN330" s="45"/>
      <c r="AO330" s="45"/>
      <c r="AP330" s="45"/>
    </row>
    <row r="331" ht="15.75" customHeight="1" spans="34:42" x14ac:dyDescent="0.25">
      <c r="AH331" s="45"/>
      <c r="AI331" s="45"/>
      <c r="AJ331" s="45"/>
      <c r="AK331" s="45"/>
      <c r="AL331" s="45"/>
      <c r="AM331" s="45"/>
      <c r="AN331" s="45"/>
      <c r="AO331" s="45"/>
      <c r="AP331" s="45"/>
    </row>
    <row r="332" ht="15.75" customHeight="1" spans="34:42" x14ac:dyDescent="0.25">
      <c r="AH332" s="45"/>
      <c r="AI332" s="45"/>
      <c r="AJ332" s="45"/>
      <c r="AK332" s="45"/>
      <c r="AL332" s="45"/>
      <c r="AM332" s="45"/>
      <c r="AN332" s="45"/>
      <c r="AO332" s="45"/>
      <c r="AP332" s="45"/>
    </row>
    <row r="333" ht="15.75" customHeight="1" spans="34:42" x14ac:dyDescent="0.25">
      <c r="AH333" s="45"/>
      <c r="AI333" s="45"/>
      <c r="AJ333" s="45"/>
      <c r="AK333" s="45"/>
      <c r="AL333" s="45"/>
      <c r="AM333" s="45"/>
      <c r="AN333" s="45"/>
      <c r="AO333" s="45"/>
      <c r="AP333" s="45"/>
    </row>
    <row r="334" ht="15.75" customHeight="1" spans="34:42" x14ac:dyDescent="0.25">
      <c r="AH334" s="45"/>
      <c r="AI334" s="45"/>
      <c r="AJ334" s="45"/>
      <c r="AK334" s="45"/>
      <c r="AL334" s="45"/>
      <c r="AM334" s="45"/>
      <c r="AN334" s="45"/>
      <c r="AO334" s="45"/>
      <c r="AP334" s="45"/>
    </row>
    <row r="335" ht="15.75" customHeight="1" spans="34:42" x14ac:dyDescent="0.25">
      <c r="AH335" s="45"/>
      <c r="AI335" s="45"/>
      <c r="AJ335" s="45"/>
      <c r="AK335" s="45"/>
      <c r="AL335" s="45"/>
      <c r="AM335" s="45"/>
      <c r="AN335" s="45"/>
      <c r="AO335" s="45"/>
      <c r="AP335" s="45"/>
    </row>
    <row r="336" ht="15.75" customHeight="1" spans="34:42" x14ac:dyDescent="0.25">
      <c r="AH336" s="45"/>
      <c r="AI336" s="45"/>
      <c r="AJ336" s="45"/>
      <c r="AK336" s="45"/>
      <c r="AL336" s="45"/>
      <c r="AM336" s="45"/>
      <c r="AN336" s="45"/>
      <c r="AO336" s="45"/>
      <c r="AP336" s="45"/>
    </row>
    <row r="337" ht="15.75" customHeight="1" spans="34:42" x14ac:dyDescent="0.25">
      <c r="AH337" s="45"/>
      <c r="AI337" s="45"/>
      <c r="AJ337" s="45"/>
      <c r="AK337" s="45"/>
      <c r="AL337" s="45"/>
      <c r="AM337" s="45"/>
      <c r="AN337" s="45"/>
      <c r="AO337" s="45"/>
      <c r="AP337" s="45"/>
    </row>
    <row r="338" ht="15.75" customHeight="1" spans="34:42" x14ac:dyDescent="0.25">
      <c r="AH338" s="45"/>
      <c r="AI338" s="45"/>
      <c r="AJ338" s="45"/>
      <c r="AK338" s="45"/>
      <c r="AL338" s="45"/>
      <c r="AM338" s="45"/>
      <c r="AN338" s="45"/>
      <c r="AO338" s="45"/>
      <c r="AP338" s="45"/>
    </row>
    <row r="339" ht="15.75" customHeight="1" spans="34:42" x14ac:dyDescent="0.25">
      <c r="AH339" s="45"/>
      <c r="AI339" s="45"/>
      <c r="AJ339" s="45"/>
      <c r="AK339" s="45"/>
      <c r="AL339" s="45"/>
      <c r="AM339" s="45"/>
      <c r="AN339" s="45"/>
      <c r="AO339" s="45"/>
      <c r="AP339" s="45"/>
    </row>
    <row r="340" ht="15.75" customHeight="1" spans="34:42" x14ac:dyDescent="0.25">
      <c r="AH340" s="45"/>
      <c r="AI340" s="45"/>
      <c r="AJ340" s="45"/>
      <c r="AK340" s="45"/>
      <c r="AL340" s="45"/>
      <c r="AM340" s="45"/>
      <c r="AN340" s="45"/>
      <c r="AO340" s="45"/>
      <c r="AP340" s="45"/>
    </row>
    <row r="341" ht="15.75" customHeight="1" spans="34:42" x14ac:dyDescent="0.25">
      <c r="AH341" s="45"/>
      <c r="AI341" s="45"/>
      <c r="AJ341" s="45"/>
      <c r="AK341" s="45"/>
      <c r="AL341" s="45"/>
      <c r="AM341" s="45"/>
      <c r="AN341" s="45"/>
      <c r="AO341" s="45"/>
      <c r="AP341" s="45"/>
    </row>
    <row r="342" ht="15.75" customHeight="1" spans="34:42" x14ac:dyDescent="0.25">
      <c r="AH342" s="45"/>
      <c r="AI342" s="45"/>
      <c r="AJ342" s="45"/>
      <c r="AK342" s="45"/>
      <c r="AL342" s="45"/>
      <c r="AM342" s="45"/>
      <c r="AN342" s="45"/>
      <c r="AO342" s="45"/>
      <c r="AP342" s="45"/>
    </row>
    <row r="343" ht="15.75" customHeight="1" spans="34:42" x14ac:dyDescent="0.25">
      <c r="AH343" s="45"/>
      <c r="AI343" s="45"/>
      <c r="AJ343" s="45"/>
      <c r="AK343" s="45"/>
      <c r="AL343" s="45"/>
      <c r="AM343" s="45"/>
      <c r="AN343" s="45"/>
      <c r="AO343" s="45"/>
      <c r="AP343" s="45"/>
    </row>
    <row r="344" ht="15.75" customHeight="1" spans="34:42" x14ac:dyDescent="0.25">
      <c r="AH344" s="45"/>
      <c r="AI344" s="45"/>
      <c r="AJ344" s="45"/>
      <c r="AK344" s="45"/>
      <c r="AL344" s="45"/>
      <c r="AM344" s="45"/>
      <c r="AN344" s="45"/>
      <c r="AO344" s="45"/>
      <c r="AP344" s="45"/>
    </row>
    <row r="345" ht="15.75" customHeight="1" spans="34:42" x14ac:dyDescent="0.25">
      <c r="AH345" s="45"/>
      <c r="AI345" s="45"/>
      <c r="AJ345" s="45"/>
      <c r="AK345" s="45"/>
      <c r="AL345" s="45"/>
      <c r="AM345" s="45"/>
      <c r="AN345" s="45"/>
      <c r="AO345" s="45"/>
      <c r="AP345" s="45"/>
    </row>
    <row r="346" ht="15.75" customHeight="1" spans="34:42" x14ac:dyDescent="0.25">
      <c r="AH346" s="45"/>
      <c r="AI346" s="45"/>
      <c r="AJ346" s="45"/>
      <c r="AK346" s="45"/>
      <c r="AL346" s="45"/>
      <c r="AM346" s="45"/>
      <c r="AN346" s="45"/>
      <c r="AO346" s="45"/>
      <c r="AP346" s="45"/>
    </row>
    <row r="347" ht="15.75" customHeight="1" spans="34:42" x14ac:dyDescent="0.25">
      <c r="AH347" s="45"/>
      <c r="AI347" s="45"/>
      <c r="AJ347" s="45"/>
      <c r="AK347" s="45"/>
      <c r="AL347" s="45"/>
      <c r="AM347" s="45"/>
      <c r="AN347" s="45"/>
      <c r="AO347" s="45"/>
      <c r="AP347" s="45"/>
    </row>
    <row r="348" ht="15.75" customHeight="1" spans="34:42" x14ac:dyDescent="0.25">
      <c r="AH348" s="45"/>
      <c r="AI348" s="45"/>
      <c r="AJ348" s="45"/>
      <c r="AK348" s="45"/>
      <c r="AL348" s="45"/>
      <c r="AM348" s="45"/>
      <c r="AN348" s="45"/>
      <c r="AO348" s="45"/>
      <c r="AP348" s="45"/>
    </row>
    <row r="349" ht="15.75" customHeight="1" spans="34:42" x14ac:dyDescent="0.25">
      <c r="AH349" s="45"/>
      <c r="AI349" s="45"/>
      <c r="AJ349" s="45"/>
      <c r="AK349" s="45"/>
      <c r="AL349" s="45"/>
      <c r="AM349" s="45"/>
      <c r="AN349" s="45"/>
      <c r="AO349" s="45"/>
      <c r="AP349" s="45"/>
    </row>
    <row r="350" ht="15.75" customHeight="1" spans="34:42" x14ac:dyDescent="0.25">
      <c r="AH350" s="45"/>
      <c r="AI350" s="45"/>
      <c r="AJ350" s="45"/>
      <c r="AK350" s="45"/>
      <c r="AL350" s="45"/>
      <c r="AM350" s="45"/>
      <c r="AN350" s="45"/>
      <c r="AO350" s="45"/>
      <c r="AP350" s="45"/>
    </row>
    <row r="351" ht="15.75" customHeight="1" spans="34:42" x14ac:dyDescent="0.25">
      <c r="AH351" s="45"/>
      <c r="AI351" s="45"/>
      <c r="AJ351" s="45"/>
      <c r="AK351" s="45"/>
      <c r="AL351" s="45"/>
      <c r="AM351" s="45"/>
      <c r="AN351" s="45"/>
      <c r="AO351" s="45"/>
      <c r="AP351" s="45"/>
    </row>
    <row r="352" ht="15.75" customHeight="1" spans="34:42" x14ac:dyDescent="0.25">
      <c r="AH352" s="45"/>
      <c r="AI352" s="45"/>
      <c r="AJ352" s="45"/>
      <c r="AK352" s="45"/>
      <c r="AL352" s="45"/>
      <c r="AM352" s="45"/>
      <c r="AN352" s="45"/>
      <c r="AO352" s="45"/>
      <c r="AP352" s="45"/>
    </row>
    <row r="353" ht="15.75" customHeight="1" spans="34:42" x14ac:dyDescent="0.25">
      <c r="AH353" s="45"/>
      <c r="AI353" s="45"/>
      <c r="AJ353" s="45"/>
      <c r="AK353" s="45"/>
      <c r="AL353" s="45"/>
      <c r="AM353" s="45"/>
      <c r="AN353" s="45"/>
      <c r="AO353" s="45"/>
      <c r="AP353" s="45"/>
    </row>
    <row r="354" ht="15.75" customHeight="1" spans="34:42" x14ac:dyDescent="0.25">
      <c r="AH354" s="45"/>
      <c r="AI354" s="45"/>
      <c r="AJ354" s="45"/>
      <c r="AK354" s="45"/>
      <c r="AL354" s="45"/>
      <c r="AM354" s="45"/>
      <c r="AN354" s="45"/>
      <c r="AO354" s="45"/>
      <c r="AP354" s="45"/>
    </row>
    <row r="355" ht="15.75" customHeight="1" spans="34:42" x14ac:dyDescent="0.25">
      <c r="AH355" s="45"/>
      <c r="AI355" s="45"/>
      <c r="AJ355" s="45"/>
      <c r="AK355" s="45"/>
      <c r="AL355" s="45"/>
      <c r="AM355" s="45"/>
      <c r="AN355" s="45"/>
      <c r="AO355" s="45"/>
      <c r="AP355" s="45"/>
    </row>
    <row r="356" ht="15.75" customHeight="1" spans="34:42" x14ac:dyDescent="0.25">
      <c r="AH356" s="45"/>
      <c r="AI356" s="45"/>
      <c r="AJ356" s="45"/>
      <c r="AK356" s="45"/>
      <c r="AL356" s="45"/>
      <c r="AM356" s="45"/>
      <c r="AN356" s="45"/>
      <c r="AO356" s="45"/>
      <c r="AP356" s="45"/>
    </row>
    <row r="357" ht="15.75" customHeight="1" spans="34:42" x14ac:dyDescent="0.25">
      <c r="AH357" s="45"/>
      <c r="AI357" s="45"/>
      <c r="AJ357" s="45"/>
      <c r="AK357" s="45"/>
      <c r="AL357" s="45"/>
      <c r="AM357" s="45"/>
      <c r="AN357" s="45"/>
      <c r="AO357" s="45"/>
      <c r="AP357" s="45"/>
    </row>
    <row r="358" ht="15.75" customHeight="1" spans="34:42" x14ac:dyDescent="0.25">
      <c r="AH358" s="45"/>
      <c r="AI358" s="45"/>
      <c r="AJ358" s="45"/>
      <c r="AK358" s="45"/>
      <c r="AL358" s="45"/>
      <c r="AM358" s="45"/>
      <c r="AN358" s="45"/>
      <c r="AO358" s="45"/>
      <c r="AP358" s="45"/>
    </row>
    <row r="359" ht="15.75" customHeight="1" spans="34:42" x14ac:dyDescent="0.25">
      <c r="AH359" s="45"/>
      <c r="AI359" s="45"/>
      <c r="AJ359" s="45"/>
      <c r="AK359" s="45"/>
      <c r="AL359" s="45"/>
      <c r="AM359" s="45"/>
      <c r="AN359" s="45"/>
      <c r="AO359" s="45"/>
      <c r="AP359" s="45"/>
    </row>
    <row r="360" ht="15.75" customHeight="1" spans="34:42" x14ac:dyDescent="0.25">
      <c r="AH360" s="45"/>
      <c r="AI360" s="45"/>
      <c r="AJ360" s="45"/>
      <c r="AK360" s="45"/>
      <c r="AL360" s="45"/>
      <c r="AM360" s="45"/>
      <c r="AN360" s="45"/>
      <c r="AO360" s="45"/>
      <c r="AP360" s="45"/>
    </row>
    <row r="361" ht="15.75" customHeight="1" spans="34:42" x14ac:dyDescent="0.25">
      <c r="AH361" s="45"/>
      <c r="AI361" s="45"/>
      <c r="AJ361" s="45"/>
      <c r="AK361" s="45"/>
      <c r="AL361" s="45"/>
      <c r="AM361" s="45"/>
      <c r="AN361" s="45"/>
      <c r="AO361" s="45"/>
      <c r="AP361" s="45"/>
    </row>
    <row r="362" ht="15.75" customHeight="1" spans="34:42" x14ac:dyDescent="0.25">
      <c r="AH362" s="45"/>
      <c r="AI362" s="45"/>
      <c r="AJ362" s="45"/>
      <c r="AK362" s="45"/>
      <c r="AL362" s="45"/>
      <c r="AM362" s="45"/>
      <c r="AN362" s="45"/>
      <c r="AO362" s="45"/>
      <c r="AP362" s="45"/>
    </row>
    <row r="363" ht="15.75" customHeight="1" spans="34:42" x14ac:dyDescent="0.25">
      <c r="AH363" s="45"/>
      <c r="AI363" s="45"/>
      <c r="AJ363" s="45"/>
      <c r="AK363" s="45"/>
      <c r="AL363" s="45"/>
      <c r="AM363" s="45"/>
      <c r="AN363" s="45"/>
      <c r="AO363" s="45"/>
      <c r="AP363" s="45"/>
    </row>
    <row r="364" ht="15.75" customHeight="1" spans="34:42" x14ac:dyDescent="0.25">
      <c r="AH364" s="45"/>
      <c r="AI364" s="45"/>
      <c r="AJ364" s="45"/>
      <c r="AK364" s="45"/>
      <c r="AL364" s="45"/>
      <c r="AM364" s="45"/>
      <c r="AN364" s="45"/>
      <c r="AO364" s="45"/>
      <c r="AP364" s="45"/>
    </row>
    <row r="365" ht="15.75" customHeight="1" spans="34:42" x14ac:dyDescent="0.25">
      <c r="AH365" s="45"/>
      <c r="AI365" s="45"/>
      <c r="AJ365" s="45"/>
      <c r="AK365" s="45"/>
      <c r="AL365" s="45"/>
      <c r="AM365" s="45"/>
      <c r="AN365" s="45"/>
      <c r="AO365" s="45"/>
      <c r="AP365" s="45"/>
    </row>
    <row r="366" ht="15.75" customHeight="1" spans="34:42" x14ac:dyDescent="0.25">
      <c r="AH366" s="45"/>
      <c r="AI366" s="45"/>
      <c r="AJ366" s="45"/>
      <c r="AK366" s="45"/>
      <c r="AL366" s="45"/>
      <c r="AM366" s="45"/>
      <c r="AN366" s="45"/>
      <c r="AO366" s="45"/>
      <c r="AP366" s="45"/>
    </row>
    <row r="367" ht="15.75" customHeight="1" spans="34:42" x14ac:dyDescent="0.25">
      <c r="AH367" s="45"/>
      <c r="AI367" s="45"/>
      <c r="AJ367" s="45"/>
      <c r="AK367" s="45"/>
      <c r="AL367" s="45"/>
      <c r="AM367" s="45"/>
      <c r="AN367" s="45"/>
      <c r="AO367" s="45"/>
      <c r="AP367" s="45"/>
    </row>
    <row r="368" ht="15.75" customHeight="1" spans="34:42" x14ac:dyDescent="0.25">
      <c r="AH368" s="45"/>
      <c r="AI368" s="45"/>
      <c r="AJ368" s="45"/>
      <c r="AK368" s="45"/>
      <c r="AL368" s="45"/>
      <c r="AM368" s="45"/>
      <c r="AN368" s="45"/>
      <c r="AO368" s="45"/>
      <c r="AP368" s="45"/>
    </row>
    <row r="369" ht="15.75" customHeight="1" spans="34:42" x14ac:dyDescent="0.25">
      <c r="AH369" s="45"/>
      <c r="AI369" s="45"/>
      <c r="AJ369" s="45"/>
      <c r="AK369" s="45"/>
      <c r="AL369" s="45"/>
      <c r="AM369" s="45"/>
      <c r="AN369" s="45"/>
      <c r="AO369" s="45"/>
      <c r="AP369" s="45"/>
    </row>
    <row r="370" ht="15.75" customHeight="1" spans="34:42" x14ac:dyDescent="0.25">
      <c r="AH370" s="45"/>
      <c r="AI370" s="45"/>
      <c r="AJ370" s="45"/>
      <c r="AK370" s="45"/>
      <c r="AL370" s="45"/>
      <c r="AM370" s="45"/>
      <c r="AN370" s="45"/>
      <c r="AO370" s="45"/>
      <c r="AP370" s="45"/>
    </row>
    <row r="371" ht="15.75" customHeight="1" spans="34:42" x14ac:dyDescent="0.25">
      <c r="AH371" s="45"/>
      <c r="AI371" s="45"/>
      <c r="AJ371" s="45"/>
      <c r="AK371" s="45"/>
      <c r="AL371" s="45"/>
      <c r="AM371" s="45"/>
      <c r="AN371" s="45"/>
      <c r="AO371" s="45"/>
      <c r="AP371" s="45"/>
    </row>
    <row r="372" ht="15.75" customHeight="1" spans="34:42" x14ac:dyDescent="0.25">
      <c r="AH372" s="45"/>
      <c r="AI372" s="45"/>
      <c r="AJ372" s="45"/>
      <c r="AK372" s="45"/>
      <c r="AL372" s="45"/>
      <c r="AM372" s="45"/>
      <c r="AN372" s="45"/>
      <c r="AO372" s="45"/>
      <c r="AP372" s="45"/>
    </row>
    <row r="373" ht="15.75" customHeight="1" spans="34:42" x14ac:dyDescent="0.25">
      <c r="AH373" s="45"/>
      <c r="AI373" s="45"/>
      <c r="AJ373" s="45"/>
      <c r="AK373" s="45"/>
      <c r="AL373" s="45"/>
      <c r="AM373" s="45"/>
      <c r="AN373" s="45"/>
      <c r="AO373" s="45"/>
      <c r="AP373" s="45"/>
    </row>
    <row r="374" ht="15.75" customHeight="1" spans="34:42" x14ac:dyDescent="0.25">
      <c r="AH374" s="45"/>
      <c r="AI374" s="45"/>
      <c r="AJ374" s="45"/>
      <c r="AK374" s="45"/>
      <c r="AL374" s="45"/>
      <c r="AM374" s="45"/>
      <c r="AN374" s="45"/>
      <c r="AO374" s="45"/>
      <c r="AP374" s="45"/>
    </row>
    <row r="375" ht="15.75" customHeight="1" spans="34:42" x14ac:dyDescent="0.25">
      <c r="AH375" s="45"/>
      <c r="AI375" s="45"/>
      <c r="AJ375" s="45"/>
      <c r="AK375" s="45"/>
      <c r="AL375" s="45"/>
      <c r="AM375" s="45"/>
      <c r="AN375" s="45"/>
      <c r="AO375" s="45"/>
      <c r="AP375" s="45"/>
    </row>
    <row r="376" ht="15.75" customHeight="1" spans="34:42" x14ac:dyDescent="0.25">
      <c r="AH376" s="45"/>
      <c r="AI376" s="45"/>
      <c r="AJ376" s="45"/>
      <c r="AK376" s="45"/>
      <c r="AL376" s="45"/>
      <c r="AM376" s="45"/>
      <c r="AN376" s="45"/>
      <c r="AO376" s="45"/>
      <c r="AP376" s="45"/>
    </row>
    <row r="377" ht="15.75" customHeight="1" spans="34:42" x14ac:dyDescent="0.25">
      <c r="AH377" s="45"/>
      <c r="AI377" s="45"/>
      <c r="AJ377" s="45"/>
      <c r="AK377" s="45"/>
      <c r="AL377" s="45"/>
      <c r="AM377" s="45"/>
      <c r="AN377" s="45"/>
      <c r="AO377" s="45"/>
      <c r="AP377" s="45"/>
    </row>
    <row r="378" ht="15.75" customHeight="1" spans="34:42" x14ac:dyDescent="0.25">
      <c r="AH378" s="45"/>
      <c r="AI378" s="45"/>
      <c r="AJ378" s="45"/>
      <c r="AK378" s="45"/>
      <c r="AL378" s="45"/>
      <c r="AM378" s="45"/>
      <c r="AN378" s="45"/>
      <c r="AO378" s="45"/>
      <c r="AP378" s="45"/>
    </row>
    <row r="379" ht="15.75" customHeight="1" spans="34:42" x14ac:dyDescent="0.25">
      <c r="AH379" s="45"/>
      <c r="AI379" s="45"/>
      <c r="AJ379" s="45"/>
      <c r="AK379" s="45"/>
      <c r="AL379" s="45"/>
      <c r="AM379" s="45"/>
      <c r="AN379" s="45"/>
      <c r="AO379" s="45"/>
      <c r="AP379" s="45"/>
    </row>
    <row r="380" ht="15.75" customHeight="1" spans="34:42" x14ac:dyDescent="0.25">
      <c r="AH380" s="45"/>
      <c r="AI380" s="45"/>
      <c r="AJ380" s="45"/>
      <c r="AK380" s="45"/>
      <c r="AL380" s="45"/>
      <c r="AM380" s="45"/>
      <c r="AN380" s="45"/>
      <c r="AO380" s="45"/>
      <c r="AP380" s="45"/>
    </row>
    <row r="381" ht="15.75" customHeight="1" spans="34:42" x14ac:dyDescent="0.25">
      <c r="AH381" s="45"/>
      <c r="AI381" s="45"/>
      <c r="AJ381" s="45"/>
      <c r="AK381" s="45"/>
      <c r="AL381" s="45"/>
      <c r="AM381" s="45"/>
      <c r="AN381" s="45"/>
      <c r="AO381" s="45"/>
      <c r="AP381" s="45"/>
    </row>
    <row r="382" ht="15.75" customHeight="1" spans="34:42" x14ac:dyDescent="0.25">
      <c r="AH382" s="45"/>
      <c r="AI382" s="45"/>
      <c r="AJ382" s="45"/>
      <c r="AK382" s="45"/>
      <c r="AL382" s="45"/>
      <c r="AM382" s="45"/>
      <c r="AN382" s="45"/>
      <c r="AO382" s="45"/>
      <c r="AP382" s="45"/>
    </row>
    <row r="383" ht="15.75" customHeight="1" spans="34:42" x14ac:dyDescent="0.25">
      <c r="AH383" s="45"/>
      <c r="AI383" s="45"/>
      <c r="AJ383" s="45"/>
      <c r="AK383" s="45"/>
      <c r="AL383" s="45"/>
      <c r="AM383" s="45"/>
      <c r="AN383" s="45"/>
      <c r="AO383" s="45"/>
      <c r="AP383" s="45"/>
    </row>
    <row r="384" ht="15.75" customHeight="1" spans="34:42" x14ac:dyDescent="0.25">
      <c r="AH384" s="45"/>
      <c r="AI384" s="45"/>
      <c r="AJ384" s="45"/>
      <c r="AK384" s="45"/>
      <c r="AL384" s="45"/>
      <c r="AM384" s="45"/>
      <c r="AN384" s="45"/>
      <c r="AO384" s="45"/>
      <c r="AP384" s="45"/>
    </row>
    <row r="385" ht="15.75" customHeight="1" spans="34:42" x14ac:dyDescent="0.25">
      <c r="AH385" s="45"/>
      <c r="AI385" s="45"/>
      <c r="AJ385" s="45"/>
      <c r="AK385" s="45"/>
      <c r="AL385" s="45"/>
      <c r="AM385" s="45"/>
      <c r="AN385" s="45"/>
      <c r="AO385" s="45"/>
      <c r="AP385" s="45"/>
    </row>
    <row r="386" ht="15.75" customHeight="1" spans="34:42" x14ac:dyDescent="0.25">
      <c r="AH386" s="45"/>
      <c r="AI386" s="45"/>
      <c r="AJ386" s="45"/>
      <c r="AK386" s="45"/>
      <c r="AL386" s="45"/>
      <c r="AM386" s="45"/>
      <c r="AN386" s="45"/>
      <c r="AO386" s="45"/>
      <c r="AP386" s="45"/>
    </row>
    <row r="387" ht="15.75" customHeight="1" spans="34:42" x14ac:dyDescent="0.25">
      <c r="AH387" s="45"/>
      <c r="AI387" s="45"/>
      <c r="AJ387" s="45"/>
      <c r="AK387" s="45"/>
      <c r="AL387" s="45"/>
      <c r="AM387" s="45"/>
      <c r="AN387" s="45"/>
      <c r="AO387" s="45"/>
      <c r="AP387" s="45"/>
    </row>
    <row r="388" ht="15.75" customHeight="1" spans="34:42" x14ac:dyDescent="0.25">
      <c r="AH388" s="45"/>
      <c r="AI388" s="45"/>
      <c r="AJ388" s="45"/>
      <c r="AK388" s="45"/>
      <c r="AL388" s="45"/>
      <c r="AM388" s="45"/>
      <c r="AN388" s="45"/>
      <c r="AO388" s="45"/>
      <c r="AP388" s="45"/>
    </row>
    <row r="389" ht="15.75" customHeight="1" spans="34:42" x14ac:dyDescent="0.25">
      <c r="AH389" s="45"/>
      <c r="AI389" s="45"/>
      <c r="AJ389" s="45"/>
      <c r="AK389" s="45"/>
      <c r="AL389" s="45"/>
      <c r="AM389" s="45"/>
      <c r="AN389" s="45"/>
      <c r="AO389" s="45"/>
      <c r="AP389" s="45"/>
    </row>
    <row r="390" ht="15.75" customHeight="1" spans="34:42" x14ac:dyDescent="0.25">
      <c r="AH390" s="45"/>
      <c r="AI390" s="45"/>
      <c r="AJ390" s="45"/>
      <c r="AK390" s="45"/>
      <c r="AL390" s="45"/>
      <c r="AM390" s="45"/>
      <c r="AN390" s="45"/>
      <c r="AO390" s="45"/>
      <c r="AP390" s="45"/>
    </row>
    <row r="391" ht="15.75" customHeight="1" spans="34:42" x14ac:dyDescent="0.25">
      <c r="AH391" s="45"/>
      <c r="AI391" s="45"/>
      <c r="AJ391" s="45"/>
      <c r="AK391" s="45"/>
      <c r="AL391" s="45"/>
      <c r="AM391" s="45"/>
      <c r="AN391" s="45"/>
      <c r="AO391" s="45"/>
      <c r="AP391" s="45"/>
    </row>
    <row r="392" ht="15.75" customHeight="1" spans="34:42" x14ac:dyDescent="0.25">
      <c r="AH392" s="45"/>
      <c r="AI392" s="45"/>
      <c r="AJ392" s="45"/>
      <c r="AK392" s="45"/>
      <c r="AL392" s="45"/>
      <c r="AM392" s="45"/>
      <c r="AN392" s="45"/>
      <c r="AO392" s="45"/>
      <c r="AP392" s="45"/>
    </row>
    <row r="393" ht="15.75" customHeight="1" spans="34:42" x14ac:dyDescent="0.25">
      <c r="AH393" s="45"/>
      <c r="AI393" s="45"/>
      <c r="AJ393" s="45"/>
      <c r="AK393" s="45"/>
      <c r="AL393" s="45"/>
      <c r="AM393" s="45"/>
      <c r="AN393" s="45"/>
      <c r="AO393" s="45"/>
      <c r="AP393" s="45"/>
    </row>
    <row r="394" ht="15.75" customHeight="1" spans="34:42" x14ac:dyDescent="0.25">
      <c r="AH394" s="45"/>
      <c r="AI394" s="45"/>
      <c r="AJ394" s="45"/>
      <c r="AK394" s="45"/>
      <c r="AL394" s="45"/>
      <c r="AM394" s="45"/>
      <c r="AN394" s="45"/>
      <c r="AO394" s="45"/>
      <c r="AP394" s="45"/>
    </row>
    <row r="395" ht="15.75" customHeight="1" spans="34:42" x14ac:dyDescent="0.25">
      <c r="AH395" s="45"/>
      <c r="AI395" s="45"/>
      <c r="AJ395" s="45"/>
      <c r="AK395" s="45"/>
      <c r="AL395" s="45"/>
      <c r="AM395" s="45"/>
      <c r="AN395" s="45"/>
      <c r="AO395" s="45"/>
      <c r="AP395" s="45"/>
    </row>
    <row r="396" ht="15.75" customHeight="1" spans="34:42" x14ac:dyDescent="0.25">
      <c r="AH396" s="45"/>
      <c r="AI396" s="45"/>
      <c r="AJ396" s="45"/>
      <c r="AK396" s="45"/>
      <c r="AL396" s="45"/>
      <c r="AM396" s="45"/>
      <c r="AN396" s="45"/>
      <c r="AO396" s="45"/>
      <c r="AP396" s="45"/>
    </row>
    <row r="397" ht="15.75" customHeight="1" spans="34:42" x14ac:dyDescent="0.25">
      <c r="AH397" s="45"/>
      <c r="AI397" s="45"/>
      <c r="AJ397" s="45"/>
      <c r="AK397" s="45"/>
      <c r="AL397" s="45"/>
      <c r="AM397" s="45"/>
      <c r="AN397" s="45"/>
      <c r="AO397" s="45"/>
      <c r="AP397" s="45"/>
    </row>
    <row r="398" ht="15.75" customHeight="1" spans="34:42" x14ac:dyDescent="0.25">
      <c r="AH398" s="45"/>
      <c r="AI398" s="45"/>
      <c r="AJ398" s="45"/>
      <c r="AK398" s="45"/>
      <c r="AL398" s="45"/>
      <c r="AM398" s="45"/>
      <c r="AN398" s="45"/>
      <c r="AO398" s="45"/>
      <c r="AP398" s="45"/>
    </row>
    <row r="399" ht="15.75" customHeight="1" spans="34:42" x14ac:dyDescent="0.25">
      <c r="AH399" s="45"/>
      <c r="AI399" s="45"/>
      <c r="AJ399" s="45"/>
      <c r="AK399" s="45"/>
      <c r="AL399" s="45"/>
      <c r="AM399" s="45"/>
      <c r="AN399" s="45"/>
      <c r="AO399" s="45"/>
      <c r="AP399" s="45"/>
    </row>
    <row r="400" ht="15.75" customHeight="1" spans="34:42" x14ac:dyDescent="0.25">
      <c r="AH400" s="45"/>
      <c r="AI400" s="45"/>
      <c r="AJ400" s="45"/>
      <c r="AK400" s="45"/>
      <c r="AL400" s="45"/>
      <c r="AM400" s="45"/>
      <c r="AN400" s="45"/>
      <c r="AO400" s="45"/>
      <c r="AP400" s="45"/>
    </row>
    <row r="401" ht="15.75" customHeight="1" spans="34:42" x14ac:dyDescent="0.25">
      <c r="AH401" s="45"/>
      <c r="AI401" s="45"/>
      <c r="AJ401" s="45"/>
      <c r="AK401" s="45"/>
      <c r="AL401" s="45"/>
      <c r="AM401" s="45"/>
      <c r="AN401" s="45"/>
      <c r="AO401" s="45"/>
      <c r="AP401" s="45"/>
    </row>
    <row r="402" ht="15.75" customHeight="1" spans="34:42" x14ac:dyDescent="0.25">
      <c r="AH402" s="45"/>
      <c r="AI402" s="45"/>
      <c r="AJ402" s="45"/>
      <c r="AK402" s="45"/>
      <c r="AL402" s="45"/>
      <c r="AM402" s="45"/>
      <c r="AN402" s="45"/>
      <c r="AO402" s="45"/>
      <c r="AP402" s="45"/>
    </row>
    <row r="403" ht="15.75" customHeight="1" spans="34:42" x14ac:dyDescent="0.25">
      <c r="AH403" s="45"/>
      <c r="AI403" s="45"/>
      <c r="AJ403" s="45"/>
      <c r="AK403" s="45"/>
      <c r="AL403" s="45"/>
      <c r="AM403" s="45"/>
      <c r="AN403" s="45"/>
      <c r="AO403" s="45"/>
      <c r="AP403" s="45"/>
    </row>
    <row r="404" ht="15.75" customHeight="1" spans="34:42" x14ac:dyDescent="0.25">
      <c r="AH404" s="45"/>
      <c r="AI404" s="45"/>
      <c r="AJ404" s="45"/>
      <c r="AK404" s="45"/>
      <c r="AL404" s="45"/>
      <c r="AM404" s="45"/>
      <c r="AN404" s="45"/>
      <c r="AO404" s="45"/>
      <c r="AP404" s="45"/>
    </row>
    <row r="405" ht="15.75" customHeight="1" spans="34:42" x14ac:dyDescent="0.25">
      <c r="AH405" s="45"/>
      <c r="AI405" s="45"/>
      <c r="AJ405" s="45"/>
      <c r="AK405" s="45"/>
      <c r="AL405" s="45"/>
      <c r="AM405" s="45"/>
      <c r="AN405" s="45"/>
      <c r="AO405" s="45"/>
      <c r="AP405" s="45"/>
    </row>
    <row r="406" ht="15.75" customHeight="1" spans="34:42" x14ac:dyDescent="0.25">
      <c r="AH406" s="45"/>
      <c r="AI406" s="45"/>
      <c r="AJ406" s="45"/>
      <c r="AK406" s="45"/>
      <c r="AL406" s="45"/>
      <c r="AM406" s="45"/>
      <c r="AN406" s="45"/>
      <c r="AO406" s="45"/>
      <c r="AP406" s="45"/>
    </row>
    <row r="407" ht="15.75" customHeight="1" spans="34:42" x14ac:dyDescent="0.25">
      <c r="AH407" s="45"/>
      <c r="AI407" s="45"/>
      <c r="AJ407" s="45"/>
      <c r="AK407" s="45"/>
      <c r="AL407" s="45"/>
      <c r="AM407" s="45"/>
      <c r="AN407" s="45"/>
      <c r="AO407" s="45"/>
      <c r="AP407" s="45"/>
    </row>
    <row r="408" ht="15.75" customHeight="1" spans="34:42" x14ac:dyDescent="0.25">
      <c r="AH408" s="45"/>
      <c r="AI408" s="45"/>
      <c r="AJ408" s="45"/>
      <c r="AK408" s="45"/>
      <c r="AL408" s="45"/>
      <c r="AM408" s="45"/>
      <c r="AN408" s="45"/>
      <c r="AO408" s="45"/>
      <c r="AP408" s="45"/>
    </row>
    <row r="409" ht="15.75" customHeight="1" spans="34:42" x14ac:dyDescent="0.25">
      <c r="AH409" s="45"/>
      <c r="AI409" s="45"/>
      <c r="AJ409" s="45"/>
      <c r="AK409" s="45"/>
      <c r="AL409" s="45"/>
      <c r="AM409" s="45"/>
      <c r="AN409" s="45"/>
      <c r="AO409" s="45"/>
      <c r="AP409" s="45"/>
    </row>
    <row r="410" ht="15.75" customHeight="1" spans="34:42" x14ac:dyDescent="0.25">
      <c r="AH410" s="45"/>
      <c r="AI410" s="45"/>
      <c r="AJ410" s="45"/>
      <c r="AK410" s="45"/>
      <c r="AL410" s="45"/>
      <c r="AM410" s="45"/>
      <c r="AN410" s="45"/>
      <c r="AO410" s="45"/>
      <c r="AP410" s="45"/>
    </row>
    <row r="411" ht="15.75" customHeight="1" spans="34:42" x14ac:dyDescent="0.25">
      <c r="AH411" s="45"/>
      <c r="AI411" s="45"/>
      <c r="AJ411" s="45"/>
      <c r="AK411" s="45"/>
      <c r="AL411" s="45"/>
      <c r="AM411" s="45"/>
      <c r="AN411" s="45"/>
      <c r="AO411" s="45"/>
      <c r="AP411" s="45"/>
    </row>
    <row r="412" ht="15.75" customHeight="1" spans="34:42" x14ac:dyDescent="0.25">
      <c r="AH412" s="45"/>
      <c r="AI412" s="45"/>
      <c r="AJ412" s="45"/>
      <c r="AK412" s="45"/>
      <c r="AL412" s="45"/>
      <c r="AM412" s="45"/>
      <c r="AN412" s="45"/>
      <c r="AO412" s="45"/>
      <c r="AP412" s="45"/>
    </row>
    <row r="413" ht="15.75" customHeight="1" spans="34:42" x14ac:dyDescent="0.25">
      <c r="AH413" s="45"/>
      <c r="AI413" s="45"/>
      <c r="AJ413" s="45"/>
      <c r="AK413" s="45"/>
      <c r="AL413" s="45"/>
      <c r="AM413" s="45"/>
      <c r="AN413" s="45"/>
      <c r="AO413" s="45"/>
      <c r="AP413" s="45"/>
    </row>
    <row r="414" ht="15.75" customHeight="1" spans="34:42" x14ac:dyDescent="0.25">
      <c r="AH414" s="45"/>
      <c r="AI414" s="45"/>
      <c r="AJ414" s="45"/>
      <c r="AK414" s="45"/>
      <c r="AL414" s="45"/>
      <c r="AM414" s="45"/>
      <c r="AN414" s="45"/>
      <c r="AO414" s="45"/>
      <c r="AP414" s="45"/>
    </row>
    <row r="415" ht="15.75" customHeight="1" spans="34:42" x14ac:dyDescent="0.25">
      <c r="AH415" s="45"/>
      <c r="AI415" s="45"/>
      <c r="AJ415" s="45"/>
      <c r="AK415" s="45"/>
      <c r="AL415" s="45"/>
      <c r="AM415" s="45"/>
      <c r="AN415" s="45"/>
      <c r="AO415" s="45"/>
      <c r="AP415" s="45"/>
    </row>
    <row r="416" ht="15.75" customHeight="1" spans="34:42" x14ac:dyDescent="0.25">
      <c r="AH416" s="45"/>
      <c r="AI416" s="45"/>
      <c r="AJ416" s="45"/>
      <c r="AK416" s="45"/>
      <c r="AL416" s="45"/>
      <c r="AM416" s="45"/>
      <c r="AN416" s="45"/>
      <c r="AO416" s="45"/>
      <c r="AP416" s="45"/>
    </row>
    <row r="417" ht="15.75" customHeight="1" spans="34:42" x14ac:dyDescent="0.25">
      <c r="AH417" s="45"/>
      <c r="AI417" s="45"/>
      <c r="AJ417" s="45"/>
      <c r="AK417" s="45"/>
      <c r="AL417" s="45"/>
      <c r="AM417" s="45"/>
      <c r="AN417" s="45"/>
      <c r="AO417" s="45"/>
      <c r="AP417" s="45"/>
    </row>
    <row r="418" ht="15.75" customHeight="1" spans="34:42" x14ac:dyDescent="0.25">
      <c r="AH418" s="45"/>
      <c r="AI418" s="45"/>
      <c r="AJ418" s="45"/>
      <c r="AK418" s="45"/>
      <c r="AL418" s="45"/>
      <c r="AM418" s="45"/>
      <c r="AN418" s="45"/>
      <c r="AO418" s="45"/>
      <c r="AP418" s="45"/>
    </row>
    <row r="419" ht="15.75" customHeight="1" spans="34:42" x14ac:dyDescent="0.25">
      <c r="AH419" s="45"/>
      <c r="AI419" s="45"/>
      <c r="AJ419" s="45"/>
      <c r="AK419" s="45"/>
      <c r="AL419" s="45"/>
      <c r="AM419" s="45"/>
      <c r="AN419" s="45"/>
      <c r="AO419" s="45"/>
      <c r="AP419" s="45"/>
    </row>
    <row r="420" ht="15.75" customHeight="1" spans="34:42" x14ac:dyDescent="0.25">
      <c r="AH420" s="45"/>
      <c r="AI420" s="45"/>
      <c r="AJ420" s="45"/>
      <c r="AK420" s="45"/>
      <c r="AL420" s="45"/>
      <c r="AM420" s="45"/>
      <c r="AN420" s="45"/>
      <c r="AO420" s="45"/>
      <c r="AP420" s="45"/>
    </row>
    <row r="421" ht="15.75" customHeight="1" spans="34:42" x14ac:dyDescent="0.25">
      <c r="AH421" s="45"/>
      <c r="AI421" s="45"/>
      <c r="AJ421" s="45"/>
      <c r="AK421" s="45"/>
      <c r="AL421" s="45"/>
      <c r="AM421" s="45"/>
      <c r="AN421" s="45"/>
      <c r="AO421" s="45"/>
      <c r="AP421" s="45"/>
    </row>
    <row r="422" ht="15.75" customHeight="1" spans="34:42" x14ac:dyDescent="0.25">
      <c r="AH422" s="45"/>
      <c r="AI422" s="45"/>
      <c r="AJ422" s="45"/>
      <c r="AK422" s="45"/>
      <c r="AL422" s="45"/>
      <c r="AM422" s="45"/>
      <c r="AN422" s="45"/>
      <c r="AO422" s="45"/>
      <c r="AP422" s="45"/>
    </row>
    <row r="423" ht="15.75" customHeight="1" spans="34:42" x14ac:dyDescent="0.25">
      <c r="AH423" s="45"/>
      <c r="AI423" s="45"/>
      <c r="AJ423" s="45"/>
      <c r="AK423" s="45"/>
      <c r="AL423" s="45"/>
      <c r="AM423" s="45"/>
      <c r="AN423" s="45"/>
      <c r="AO423" s="45"/>
      <c r="AP423" s="45"/>
    </row>
    <row r="424" ht="15.75" customHeight="1" spans="34:42" x14ac:dyDescent="0.25">
      <c r="AH424" s="45"/>
      <c r="AI424" s="45"/>
      <c r="AJ424" s="45"/>
      <c r="AK424" s="45"/>
      <c r="AL424" s="45"/>
      <c r="AM424" s="45"/>
      <c r="AN424" s="45"/>
      <c r="AO424" s="45"/>
      <c r="AP424" s="45"/>
    </row>
    <row r="425" ht="15.75" customHeight="1" spans="34:42" x14ac:dyDescent="0.25">
      <c r="AH425" s="45"/>
      <c r="AI425" s="45"/>
      <c r="AJ425" s="45"/>
      <c r="AK425" s="45"/>
      <c r="AL425" s="45"/>
      <c r="AM425" s="45"/>
      <c r="AN425" s="45"/>
      <c r="AO425" s="45"/>
      <c r="AP425" s="45"/>
    </row>
    <row r="426" ht="15.75" customHeight="1" spans="34:42" x14ac:dyDescent="0.25">
      <c r="AH426" s="45"/>
      <c r="AI426" s="45"/>
      <c r="AJ426" s="45"/>
      <c r="AK426" s="45"/>
      <c r="AL426" s="45"/>
      <c r="AM426" s="45"/>
      <c r="AN426" s="45"/>
      <c r="AO426" s="45"/>
      <c r="AP426" s="45"/>
    </row>
    <row r="427" ht="15.75" customHeight="1" spans="34:42" x14ac:dyDescent="0.25">
      <c r="AH427" s="45"/>
      <c r="AI427" s="45"/>
      <c r="AJ427" s="45"/>
      <c r="AK427" s="45"/>
      <c r="AL427" s="45"/>
      <c r="AM427" s="45"/>
      <c r="AN427" s="45"/>
      <c r="AO427" s="45"/>
      <c r="AP427" s="45"/>
    </row>
    <row r="428" ht="15.75" customHeight="1" spans="34:42" x14ac:dyDescent="0.25">
      <c r="AH428" s="45"/>
      <c r="AI428" s="45"/>
      <c r="AJ428" s="45"/>
      <c r="AK428" s="45"/>
      <c r="AL428" s="45"/>
      <c r="AM428" s="45"/>
      <c r="AN428" s="45"/>
      <c r="AO428" s="45"/>
      <c r="AP428" s="45"/>
    </row>
    <row r="429" ht="15.75" customHeight="1" spans="34:42" x14ac:dyDescent="0.25">
      <c r="AH429" s="45"/>
      <c r="AI429" s="45"/>
      <c r="AJ429" s="45"/>
      <c r="AK429" s="45"/>
      <c r="AL429" s="45"/>
      <c r="AM429" s="45"/>
      <c r="AN429" s="45"/>
      <c r="AO429" s="45"/>
      <c r="AP429" s="45"/>
    </row>
    <row r="430" ht="15.75" customHeight="1" spans="34:42" x14ac:dyDescent="0.25">
      <c r="AH430" s="45"/>
      <c r="AI430" s="45"/>
      <c r="AJ430" s="45"/>
      <c r="AK430" s="45"/>
      <c r="AL430" s="45"/>
      <c r="AM430" s="45"/>
      <c r="AN430" s="45"/>
      <c r="AO430" s="45"/>
      <c r="AP430" s="45"/>
    </row>
    <row r="431" ht="15.75" customHeight="1" spans="34:42" x14ac:dyDescent="0.25">
      <c r="AH431" s="45"/>
      <c r="AI431" s="45"/>
      <c r="AJ431" s="45"/>
      <c r="AK431" s="45"/>
      <c r="AL431" s="45"/>
      <c r="AM431" s="45"/>
      <c r="AN431" s="45"/>
      <c r="AO431" s="45"/>
      <c r="AP431" s="45"/>
    </row>
    <row r="432" ht="15.75" customHeight="1" spans="34:42" x14ac:dyDescent="0.25">
      <c r="AH432" s="45"/>
      <c r="AI432" s="45"/>
      <c r="AJ432" s="45"/>
      <c r="AK432" s="45"/>
      <c r="AL432" s="45"/>
      <c r="AM432" s="45"/>
      <c r="AN432" s="45"/>
      <c r="AO432" s="45"/>
      <c r="AP432" s="45"/>
    </row>
    <row r="433" ht="15.75" customHeight="1" spans="34:42" x14ac:dyDescent="0.25">
      <c r="AH433" s="45"/>
      <c r="AI433" s="45"/>
      <c r="AJ433" s="45"/>
      <c r="AK433" s="45"/>
      <c r="AL433" s="45"/>
      <c r="AM433" s="45"/>
      <c r="AN433" s="45"/>
      <c r="AO433" s="45"/>
      <c r="AP433" s="45"/>
    </row>
    <row r="434" ht="15.75" customHeight="1" spans="34:42" x14ac:dyDescent="0.25">
      <c r="AH434" s="45"/>
      <c r="AI434" s="45"/>
      <c r="AJ434" s="45"/>
      <c r="AK434" s="45"/>
      <c r="AL434" s="45"/>
      <c r="AM434" s="45"/>
      <c r="AN434" s="45"/>
      <c r="AO434" s="45"/>
      <c r="AP434" s="45"/>
    </row>
    <row r="435" ht="15.75" customHeight="1" spans="34:42" x14ac:dyDescent="0.25">
      <c r="AH435" s="45"/>
      <c r="AI435" s="45"/>
      <c r="AJ435" s="45"/>
      <c r="AK435" s="45"/>
      <c r="AL435" s="45"/>
      <c r="AM435" s="45"/>
      <c r="AN435" s="45"/>
      <c r="AO435" s="45"/>
      <c r="AP435" s="45"/>
    </row>
    <row r="436" ht="15.75" customHeight="1" spans="34:42" x14ac:dyDescent="0.25">
      <c r="AH436" s="45"/>
      <c r="AI436" s="45"/>
      <c r="AJ436" s="45"/>
      <c r="AK436" s="45"/>
      <c r="AL436" s="45"/>
      <c r="AM436" s="45"/>
      <c r="AN436" s="45"/>
      <c r="AO436" s="45"/>
      <c r="AP436" s="45"/>
    </row>
    <row r="437" ht="15.75" customHeight="1" spans="34:42" x14ac:dyDescent="0.25">
      <c r="AH437" s="45"/>
      <c r="AI437" s="45"/>
      <c r="AJ437" s="45"/>
      <c r="AK437" s="45"/>
      <c r="AL437" s="45"/>
      <c r="AM437" s="45"/>
      <c r="AN437" s="45"/>
      <c r="AO437" s="45"/>
      <c r="AP437" s="45"/>
    </row>
    <row r="438" ht="15.75" customHeight="1" spans="34:42" x14ac:dyDescent="0.25">
      <c r="AH438" s="45"/>
      <c r="AI438" s="45"/>
      <c r="AJ438" s="45"/>
      <c r="AK438" s="45"/>
      <c r="AL438" s="45"/>
      <c r="AM438" s="45"/>
      <c r="AN438" s="45"/>
      <c r="AO438" s="45"/>
      <c r="AP438" s="45"/>
    </row>
    <row r="439" ht="15.75" customHeight="1" spans="34:42" x14ac:dyDescent="0.25">
      <c r="AH439" s="45"/>
      <c r="AI439" s="45"/>
      <c r="AJ439" s="45"/>
      <c r="AK439" s="45"/>
      <c r="AL439" s="45"/>
      <c r="AM439" s="45"/>
      <c r="AN439" s="45"/>
      <c r="AO439" s="45"/>
      <c r="AP439" s="45"/>
    </row>
    <row r="440" ht="15.75" customHeight="1" spans="34:42" x14ac:dyDescent="0.25">
      <c r="AH440" s="45"/>
      <c r="AI440" s="45"/>
      <c r="AJ440" s="45"/>
      <c r="AK440" s="45"/>
      <c r="AL440" s="45"/>
      <c r="AM440" s="45"/>
      <c r="AN440" s="45"/>
      <c r="AO440" s="45"/>
      <c r="AP440" s="45"/>
    </row>
    <row r="441" ht="15.75" customHeight="1" spans="34:42" x14ac:dyDescent="0.25">
      <c r="AH441" s="45"/>
      <c r="AI441" s="45"/>
      <c r="AJ441" s="45"/>
      <c r="AK441" s="45"/>
      <c r="AL441" s="45"/>
      <c r="AM441" s="45"/>
      <c r="AN441" s="45"/>
      <c r="AO441" s="45"/>
      <c r="AP441" s="45"/>
    </row>
    <row r="442" ht="15.75" customHeight="1" spans="34:42" x14ac:dyDescent="0.25">
      <c r="AH442" s="45"/>
      <c r="AI442" s="45"/>
      <c r="AJ442" s="45"/>
      <c r="AK442" s="45"/>
      <c r="AL442" s="45"/>
      <c r="AM442" s="45"/>
      <c r="AN442" s="45"/>
      <c r="AO442" s="45"/>
      <c r="AP442" s="45"/>
    </row>
    <row r="443" ht="15.75" customHeight="1" spans="34:42" x14ac:dyDescent="0.25">
      <c r="AH443" s="45"/>
      <c r="AI443" s="45"/>
      <c r="AJ443" s="45"/>
      <c r="AK443" s="45"/>
      <c r="AL443" s="45"/>
      <c r="AM443" s="45"/>
      <c r="AN443" s="45"/>
      <c r="AO443" s="45"/>
      <c r="AP443" s="45"/>
    </row>
    <row r="444" ht="15.75" customHeight="1" spans="34:42" x14ac:dyDescent="0.25">
      <c r="AH444" s="45"/>
      <c r="AI444" s="45"/>
      <c r="AJ444" s="45"/>
      <c r="AK444" s="45"/>
      <c r="AL444" s="45"/>
      <c r="AM444" s="45"/>
      <c r="AN444" s="45"/>
      <c r="AO444" s="45"/>
      <c r="AP444" s="45"/>
    </row>
    <row r="445" ht="15.75" customHeight="1" spans="34:42" x14ac:dyDescent="0.25">
      <c r="AH445" s="45"/>
      <c r="AI445" s="45"/>
      <c r="AJ445" s="45"/>
      <c r="AK445" s="45"/>
      <c r="AL445" s="45"/>
      <c r="AM445" s="45"/>
      <c r="AN445" s="45"/>
      <c r="AO445" s="45"/>
      <c r="AP445" s="45"/>
    </row>
    <row r="446" ht="15.75" customHeight="1" spans="34:42" x14ac:dyDescent="0.25">
      <c r="AH446" s="45"/>
      <c r="AI446" s="45"/>
      <c r="AJ446" s="45"/>
      <c r="AK446" s="45"/>
      <c r="AL446" s="45"/>
      <c r="AM446" s="45"/>
      <c r="AN446" s="45"/>
      <c r="AO446" s="45"/>
      <c r="AP446" s="45"/>
    </row>
    <row r="447" ht="15.75" customHeight="1" spans="34:42" x14ac:dyDescent="0.25">
      <c r="AH447" s="45"/>
      <c r="AI447" s="45"/>
      <c r="AJ447" s="45"/>
      <c r="AK447" s="45"/>
      <c r="AL447" s="45"/>
      <c r="AM447" s="45"/>
      <c r="AN447" s="45"/>
      <c r="AO447" s="45"/>
      <c r="AP447" s="45"/>
    </row>
    <row r="448" ht="15.75" customHeight="1" spans="34:42" x14ac:dyDescent="0.25">
      <c r="AH448" s="45"/>
      <c r="AI448" s="45"/>
      <c r="AJ448" s="45"/>
      <c r="AK448" s="45"/>
      <c r="AL448" s="45"/>
      <c r="AM448" s="45"/>
      <c r="AN448" s="45"/>
      <c r="AO448" s="45"/>
      <c r="AP448" s="45"/>
    </row>
    <row r="449" ht="15.75" customHeight="1" spans="34:42" x14ac:dyDescent="0.25">
      <c r="AH449" s="45"/>
      <c r="AI449" s="45"/>
      <c r="AJ449" s="45"/>
      <c r="AK449" s="45"/>
      <c r="AL449" s="45"/>
      <c r="AM449" s="45"/>
      <c r="AN449" s="45"/>
      <c r="AO449" s="45"/>
      <c r="AP449" s="45"/>
    </row>
    <row r="450" ht="15.75" customHeight="1" spans="34:42" x14ac:dyDescent="0.25">
      <c r="AH450" s="45"/>
      <c r="AI450" s="45"/>
      <c r="AJ450" s="45"/>
      <c r="AK450" s="45"/>
      <c r="AL450" s="45"/>
      <c r="AM450" s="45"/>
      <c r="AN450" s="45"/>
      <c r="AO450" s="45"/>
      <c r="AP450" s="45"/>
    </row>
    <row r="451" ht="15.75" customHeight="1" spans="34:42" x14ac:dyDescent="0.25">
      <c r="AH451" s="45"/>
      <c r="AI451" s="45"/>
      <c r="AJ451" s="45"/>
      <c r="AK451" s="45"/>
      <c r="AL451" s="45"/>
      <c r="AM451" s="45"/>
      <c r="AN451" s="45"/>
      <c r="AO451" s="45"/>
      <c r="AP451" s="45"/>
    </row>
    <row r="452" ht="15.75" customHeight="1" spans="34:42" x14ac:dyDescent="0.25">
      <c r="AH452" s="45"/>
      <c r="AI452" s="45"/>
      <c r="AJ452" s="45"/>
      <c r="AK452" s="45"/>
      <c r="AL452" s="45"/>
      <c r="AM452" s="45"/>
      <c r="AN452" s="45"/>
      <c r="AO452" s="45"/>
      <c r="AP452" s="45"/>
    </row>
    <row r="453" ht="15.75" customHeight="1" spans="34:42" x14ac:dyDescent="0.25">
      <c r="AH453" s="45"/>
      <c r="AI453" s="45"/>
      <c r="AJ453" s="45"/>
      <c r="AK453" s="45"/>
      <c r="AL453" s="45"/>
      <c r="AM453" s="45"/>
      <c r="AN453" s="45"/>
      <c r="AO453" s="45"/>
      <c r="AP453" s="45"/>
    </row>
    <row r="454" ht="15.75" customHeight="1" spans="34:42" x14ac:dyDescent="0.25">
      <c r="AH454" s="45"/>
      <c r="AI454" s="45"/>
      <c r="AJ454" s="45"/>
      <c r="AK454" s="45"/>
      <c r="AL454" s="45"/>
      <c r="AM454" s="45"/>
      <c r="AN454" s="45"/>
      <c r="AO454" s="45"/>
      <c r="AP454" s="45"/>
    </row>
    <row r="455" ht="15.75" customHeight="1" spans="34:42" x14ac:dyDescent="0.25">
      <c r="AH455" s="45"/>
      <c r="AI455" s="45"/>
      <c r="AJ455" s="45"/>
      <c r="AK455" s="45"/>
      <c r="AL455" s="45"/>
      <c r="AM455" s="45"/>
      <c r="AN455" s="45"/>
      <c r="AO455" s="45"/>
      <c r="AP455" s="45"/>
    </row>
    <row r="456" ht="15.75" customHeight="1" spans="34:42" x14ac:dyDescent="0.25">
      <c r="AH456" s="45"/>
      <c r="AI456" s="45"/>
      <c r="AJ456" s="45"/>
      <c r="AK456" s="45"/>
      <c r="AL456" s="45"/>
      <c r="AM456" s="45"/>
      <c r="AN456" s="45"/>
      <c r="AO456" s="45"/>
      <c r="AP456" s="45"/>
    </row>
    <row r="457" ht="15.75" customHeight="1" spans="34:42" x14ac:dyDescent="0.25">
      <c r="AH457" s="45"/>
      <c r="AI457" s="45"/>
      <c r="AJ457" s="45"/>
      <c r="AK457" s="45"/>
      <c r="AL457" s="45"/>
      <c r="AM457" s="45"/>
      <c r="AN457" s="45"/>
      <c r="AO457" s="45"/>
      <c r="AP457" s="45"/>
    </row>
    <row r="458" ht="15.75" customHeight="1" spans="34:42" x14ac:dyDescent="0.25">
      <c r="AH458" s="45"/>
      <c r="AI458" s="45"/>
      <c r="AJ458" s="45"/>
      <c r="AK458" s="45"/>
      <c r="AL458" s="45"/>
      <c r="AM458" s="45"/>
      <c r="AN458" s="45"/>
      <c r="AO458" s="45"/>
      <c r="AP458" s="45"/>
    </row>
    <row r="459" ht="15.75" customHeight="1" spans="34:42" x14ac:dyDescent="0.25">
      <c r="AH459" s="45"/>
      <c r="AI459" s="45"/>
      <c r="AJ459" s="45"/>
      <c r="AK459" s="45"/>
      <c r="AL459" s="45"/>
      <c r="AM459" s="45"/>
      <c r="AN459" s="45"/>
      <c r="AO459" s="45"/>
      <c r="AP459" s="45"/>
    </row>
    <row r="460" ht="15.75" customHeight="1" spans="34:42" x14ac:dyDescent="0.25">
      <c r="AH460" s="45"/>
      <c r="AI460" s="45"/>
      <c r="AJ460" s="45"/>
      <c r="AK460" s="45"/>
      <c r="AL460" s="45"/>
      <c r="AM460" s="45"/>
      <c r="AN460" s="45"/>
      <c r="AO460" s="45"/>
      <c r="AP460" s="45"/>
    </row>
    <row r="461" ht="15.75" customHeight="1" spans="34:42" x14ac:dyDescent="0.25">
      <c r="AH461" s="45"/>
      <c r="AI461" s="45"/>
      <c r="AJ461" s="45"/>
      <c r="AK461" s="45"/>
      <c r="AL461" s="45"/>
      <c r="AM461" s="45"/>
      <c r="AN461" s="45"/>
      <c r="AO461" s="45"/>
      <c r="AP461" s="45"/>
    </row>
    <row r="462" ht="15.75" customHeight="1" spans="34:42" x14ac:dyDescent="0.25">
      <c r="AH462" s="45"/>
      <c r="AI462" s="45"/>
      <c r="AJ462" s="45"/>
      <c r="AK462" s="45"/>
      <c r="AL462" s="45"/>
      <c r="AM462" s="45"/>
      <c r="AN462" s="45"/>
      <c r="AO462" s="45"/>
      <c r="AP462" s="45"/>
    </row>
    <row r="463" ht="15.75" customHeight="1" spans="34:42" x14ac:dyDescent="0.25">
      <c r="AH463" s="45"/>
      <c r="AI463" s="45"/>
      <c r="AJ463" s="45"/>
      <c r="AK463" s="45"/>
      <c r="AL463" s="45"/>
      <c r="AM463" s="45"/>
      <c r="AN463" s="45"/>
      <c r="AO463" s="45"/>
      <c r="AP463" s="45"/>
    </row>
    <row r="464" ht="15.75" customHeight="1" spans="34:42" x14ac:dyDescent="0.25">
      <c r="AH464" s="45"/>
      <c r="AI464" s="45"/>
      <c r="AJ464" s="45"/>
      <c r="AK464" s="45"/>
      <c r="AL464" s="45"/>
      <c r="AM464" s="45"/>
      <c r="AN464" s="45"/>
      <c r="AO464" s="45"/>
      <c r="AP464" s="45"/>
    </row>
    <row r="465" ht="15.75" customHeight="1" spans="34:42" x14ac:dyDescent="0.25">
      <c r="AH465" s="45"/>
      <c r="AI465" s="45"/>
      <c r="AJ465" s="45"/>
      <c r="AK465" s="45"/>
      <c r="AL465" s="45"/>
      <c r="AM465" s="45"/>
      <c r="AN465" s="45"/>
      <c r="AO465" s="45"/>
      <c r="AP465" s="45"/>
    </row>
    <row r="466" ht="15.75" customHeight="1" spans="34:42" x14ac:dyDescent="0.25">
      <c r="AH466" s="45"/>
      <c r="AI466" s="45"/>
      <c r="AJ466" s="45"/>
      <c r="AK466" s="45"/>
      <c r="AL466" s="45"/>
      <c r="AM466" s="45"/>
      <c r="AN466" s="45"/>
      <c r="AO466" s="45"/>
      <c r="AP466" s="45"/>
    </row>
    <row r="467" ht="15.75" customHeight="1" spans="34:42" x14ac:dyDescent="0.25">
      <c r="AH467" s="45"/>
      <c r="AI467" s="45"/>
      <c r="AJ467" s="45"/>
      <c r="AK467" s="45"/>
      <c r="AL467" s="45"/>
      <c r="AM467" s="45"/>
      <c r="AN467" s="45"/>
      <c r="AO467" s="45"/>
      <c r="AP467" s="45"/>
    </row>
    <row r="468" ht="15.75" customHeight="1" spans="34:42" x14ac:dyDescent="0.25">
      <c r="AH468" s="45"/>
      <c r="AI468" s="45"/>
      <c r="AJ468" s="45"/>
      <c r="AK468" s="45"/>
      <c r="AL468" s="45"/>
      <c r="AM468" s="45"/>
      <c r="AN468" s="45"/>
      <c r="AO468" s="45"/>
      <c r="AP468" s="45"/>
    </row>
    <row r="469" ht="15.75" customHeight="1" spans="34:42" x14ac:dyDescent="0.25">
      <c r="AH469" s="45"/>
      <c r="AI469" s="45"/>
      <c r="AJ469" s="45"/>
      <c r="AK469" s="45"/>
      <c r="AL469" s="45"/>
      <c r="AM469" s="45"/>
      <c r="AN469" s="45"/>
      <c r="AO469" s="45"/>
      <c r="AP469" s="45"/>
    </row>
    <row r="470" ht="15.75" customHeight="1" spans="34:42" x14ac:dyDescent="0.25">
      <c r="AH470" s="45"/>
      <c r="AI470" s="45"/>
      <c r="AJ470" s="45"/>
      <c r="AK470" s="45"/>
      <c r="AL470" s="45"/>
      <c r="AM470" s="45"/>
      <c r="AN470" s="45"/>
      <c r="AO470" s="45"/>
      <c r="AP470" s="45"/>
    </row>
    <row r="471" ht="15.75" customHeight="1" spans="34:42" x14ac:dyDescent="0.25">
      <c r="AH471" s="45"/>
      <c r="AI471" s="45"/>
      <c r="AJ471" s="45"/>
      <c r="AK471" s="45"/>
      <c r="AL471" s="45"/>
      <c r="AM471" s="45"/>
      <c r="AN471" s="45"/>
      <c r="AO471" s="45"/>
      <c r="AP471" s="45"/>
    </row>
    <row r="472" ht="15.75" customHeight="1" spans="34:42" x14ac:dyDescent="0.25">
      <c r="AH472" s="45"/>
      <c r="AI472" s="45"/>
      <c r="AJ472" s="45"/>
      <c r="AK472" s="45"/>
      <c r="AL472" s="45"/>
      <c r="AM472" s="45"/>
      <c r="AN472" s="45"/>
      <c r="AO472" s="45"/>
      <c r="AP472" s="45"/>
    </row>
    <row r="473" ht="15.75" customHeight="1" spans="34:42" x14ac:dyDescent="0.25">
      <c r="AH473" s="45"/>
      <c r="AI473" s="45"/>
      <c r="AJ473" s="45"/>
      <c r="AK473" s="45"/>
      <c r="AL473" s="45"/>
      <c r="AM473" s="45"/>
      <c r="AN473" s="45"/>
      <c r="AO473" s="45"/>
      <c r="AP473" s="45"/>
    </row>
    <row r="474" ht="15.75" customHeight="1" spans="34:42" x14ac:dyDescent="0.25">
      <c r="AH474" s="45"/>
      <c r="AI474" s="45"/>
      <c r="AJ474" s="45"/>
      <c r="AK474" s="45"/>
      <c r="AL474" s="45"/>
      <c r="AM474" s="45"/>
      <c r="AN474" s="45"/>
      <c r="AO474" s="45"/>
      <c r="AP474" s="45"/>
    </row>
    <row r="475" ht="15.75" customHeight="1" spans="34:42" x14ac:dyDescent="0.25">
      <c r="AH475" s="45"/>
      <c r="AI475" s="45"/>
      <c r="AJ475" s="45"/>
      <c r="AK475" s="45"/>
      <c r="AL475" s="45"/>
      <c r="AM475" s="45"/>
      <c r="AN475" s="45"/>
      <c r="AO475" s="45"/>
      <c r="AP475" s="45"/>
    </row>
    <row r="476" ht="15.75" customHeight="1" spans="34:42" x14ac:dyDescent="0.25">
      <c r="AH476" s="45"/>
      <c r="AI476" s="45"/>
      <c r="AJ476" s="45"/>
      <c r="AK476" s="45"/>
      <c r="AL476" s="45"/>
      <c r="AM476" s="45"/>
      <c r="AN476" s="45"/>
      <c r="AO476" s="45"/>
      <c r="AP476" s="45"/>
    </row>
    <row r="477" ht="15.75" customHeight="1" spans="34:42" x14ac:dyDescent="0.25">
      <c r="AH477" s="45"/>
      <c r="AI477" s="45"/>
      <c r="AJ477" s="45"/>
      <c r="AK477" s="45"/>
      <c r="AL477" s="45"/>
      <c r="AM477" s="45"/>
      <c r="AN477" s="45"/>
      <c r="AO477" s="45"/>
      <c r="AP477" s="45"/>
    </row>
    <row r="478" ht="15.75" customHeight="1" spans="34:42" x14ac:dyDescent="0.25">
      <c r="AH478" s="45"/>
      <c r="AI478" s="45"/>
      <c r="AJ478" s="45"/>
      <c r="AK478" s="45"/>
      <c r="AL478" s="45"/>
      <c r="AM478" s="45"/>
      <c r="AN478" s="45"/>
      <c r="AO478" s="45"/>
      <c r="AP478" s="45"/>
    </row>
    <row r="479" ht="15.75" customHeight="1" spans="34:42" x14ac:dyDescent="0.25">
      <c r="AH479" s="45"/>
      <c r="AI479" s="45"/>
      <c r="AJ479" s="45"/>
      <c r="AK479" s="45"/>
      <c r="AL479" s="45"/>
      <c r="AM479" s="45"/>
      <c r="AN479" s="45"/>
      <c r="AO479" s="45"/>
      <c r="AP479" s="45"/>
    </row>
    <row r="480" ht="15.75" customHeight="1" spans="34:42" x14ac:dyDescent="0.25">
      <c r="AH480" s="45"/>
      <c r="AI480" s="45"/>
      <c r="AJ480" s="45"/>
      <c r="AK480" s="45"/>
      <c r="AL480" s="45"/>
      <c r="AM480" s="45"/>
      <c r="AN480" s="45"/>
      <c r="AO480" s="45"/>
      <c r="AP480" s="45"/>
    </row>
    <row r="481" ht="15.75" customHeight="1" spans="34:42" x14ac:dyDescent="0.25">
      <c r="AH481" s="45"/>
      <c r="AI481" s="45"/>
      <c r="AJ481" s="45"/>
      <c r="AK481" s="45"/>
      <c r="AL481" s="45"/>
      <c r="AM481" s="45"/>
      <c r="AN481" s="45"/>
      <c r="AO481" s="45"/>
      <c r="AP481" s="45"/>
    </row>
    <row r="482" ht="15.75" customHeight="1" spans="34:42" x14ac:dyDescent="0.25">
      <c r="AH482" s="45"/>
      <c r="AI482" s="45"/>
      <c r="AJ482" s="45"/>
      <c r="AK482" s="45"/>
      <c r="AL482" s="45"/>
      <c r="AM482" s="45"/>
      <c r="AN482" s="45"/>
      <c r="AO482" s="45"/>
      <c r="AP482" s="45"/>
    </row>
    <row r="483" ht="15.75" customHeight="1" spans="34:42" x14ac:dyDescent="0.25">
      <c r="AH483" s="45"/>
      <c r="AI483" s="45"/>
      <c r="AJ483" s="45"/>
      <c r="AK483" s="45"/>
      <c r="AL483" s="45"/>
      <c r="AM483" s="45"/>
      <c r="AN483" s="45"/>
      <c r="AO483" s="45"/>
      <c r="AP483" s="45"/>
    </row>
    <row r="484" ht="15.75" customHeight="1" spans="34:42" x14ac:dyDescent="0.25">
      <c r="AH484" s="45"/>
      <c r="AI484" s="45"/>
      <c r="AJ484" s="45"/>
      <c r="AK484" s="45"/>
      <c r="AL484" s="45"/>
      <c r="AM484" s="45"/>
      <c r="AN484" s="45"/>
      <c r="AO484" s="45"/>
      <c r="AP484" s="45"/>
    </row>
    <row r="485" ht="15.75" customHeight="1" spans="34:42" x14ac:dyDescent="0.25">
      <c r="AH485" s="45"/>
      <c r="AI485" s="45"/>
      <c r="AJ485" s="45"/>
      <c r="AK485" s="45"/>
      <c r="AL485" s="45"/>
      <c r="AM485" s="45"/>
      <c r="AN485" s="45"/>
      <c r="AO485" s="45"/>
      <c r="AP485" s="45"/>
    </row>
    <row r="486" ht="15.75" customHeight="1" spans="34:42" x14ac:dyDescent="0.25">
      <c r="AH486" s="45"/>
      <c r="AI486" s="45"/>
      <c r="AJ486" s="45"/>
      <c r="AK486" s="45"/>
      <c r="AL486" s="45"/>
      <c r="AM486" s="45"/>
      <c r="AN486" s="45"/>
      <c r="AO486" s="45"/>
      <c r="AP486" s="45"/>
    </row>
    <row r="487" ht="15.75" customHeight="1" spans="34:42" x14ac:dyDescent="0.25">
      <c r="AH487" s="45"/>
      <c r="AI487" s="45"/>
      <c r="AJ487" s="45"/>
      <c r="AK487" s="45"/>
      <c r="AL487" s="45"/>
      <c r="AM487" s="45"/>
      <c r="AN487" s="45"/>
      <c r="AO487" s="45"/>
      <c r="AP487" s="45"/>
    </row>
    <row r="488" ht="15.75" customHeight="1" spans="34:42" x14ac:dyDescent="0.25">
      <c r="AH488" s="45"/>
      <c r="AI488" s="45"/>
      <c r="AJ488" s="45"/>
      <c r="AK488" s="45"/>
      <c r="AL488" s="45"/>
      <c r="AM488" s="45"/>
      <c r="AN488" s="45"/>
      <c r="AO488" s="45"/>
      <c r="AP488" s="45"/>
    </row>
    <row r="489" ht="15.75" customHeight="1" spans="34:42" x14ac:dyDescent="0.25">
      <c r="AH489" s="45"/>
      <c r="AI489" s="45"/>
      <c r="AJ489" s="45"/>
      <c r="AK489" s="45"/>
      <c r="AL489" s="45"/>
      <c r="AM489" s="45"/>
      <c r="AN489" s="45"/>
      <c r="AO489" s="45"/>
      <c r="AP489" s="45"/>
    </row>
    <row r="490" ht="15.75" customHeight="1" spans="34:42" x14ac:dyDescent="0.25">
      <c r="AH490" s="45"/>
      <c r="AI490" s="45"/>
      <c r="AJ490" s="45"/>
      <c r="AK490" s="45"/>
      <c r="AL490" s="45"/>
      <c r="AM490" s="45"/>
      <c r="AN490" s="45"/>
      <c r="AO490" s="45"/>
      <c r="AP490" s="45"/>
    </row>
    <row r="491" ht="15.75" customHeight="1" spans="34:42" x14ac:dyDescent="0.25">
      <c r="AH491" s="45"/>
      <c r="AI491" s="45"/>
      <c r="AJ491" s="45"/>
      <c r="AK491" s="45"/>
      <c r="AL491" s="45"/>
      <c r="AM491" s="45"/>
      <c r="AN491" s="45"/>
      <c r="AO491" s="45"/>
      <c r="AP491" s="45"/>
    </row>
    <row r="492" ht="15.75" customHeight="1" spans="34:42" x14ac:dyDescent="0.25">
      <c r="AH492" s="45"/>
      <c r="AI492" s="45"/>
      <c r="AJ492" s="45"/>
      <c r="AK492" s="45"/>
      <c r="AL492" s="45"/>
      <c r="AM492" s="45"/>
      <c r="AN492" s="45"/>
      <c r="AO492" s="45"/>
      <c r="AP492" s="45"/>
    </row>
    <row r="493" ht="15.75" customHeight="1" spans="34:42" x14ac:dyDescent="0.25">
      <c r="AH493" s="45"/>
      <c r="AI493" s="45"/>
      <c r="AJ493" s="45"/>
      <c r="AK493" s="45"/>
      <c r="AL493" s="45"/>
      <c r="AM493" s="45"/>
      <c r="AN493" s="45"/>
      <c r="AO493" s="45"/>
      <c r="AP493" s="45"/>
    </row>
    <row r="494" ht="15.75" customHeight="1" spans="34:42" x14ac:dyDescent="0.25">
      <c r="AH494" s="45"/>
      <c r="AI494" s="45"/>
      <c r="AJ494" s="45"/>
      <c r="AK494" s="45"/>
      <c r="AL494" s="45"/>
      <c r="AM494" s="45"/>
      <c r="AN494" s="45"/>
      <c r="AO494" s="45"/>
      <c r="AP494" s="45"/>
    </row>
    <row r="495" ht="15.75" customHeight="1" spans="34:42" x14ac:dyDescent="0.25">
      <c r="AH495" s="45"/>
      <c r="AI495" s="45"/>
      <c r="AJ495" s="45"/>
      <c r="AK495" s="45"/>
      <c r="AL495" s="45"/>
      <c r="AM495" s="45"/>
      <c r="AN495" s="45"/>
      <c r="AO495" s="45"/>
      <c r="AP495" s="45"/>
    </row>
    <row r="496" ht="15.75" customHeight="1" spans="34:42" x14ac:dyDescent="0.25">
      <c r="AH496" s="45"/>
      <c r="AI496" s="45"/>
      <c r="AJ496" s="45"/>
      <c r="AK496" s="45"/>
      <c r="AL496" s="45"/>
      <c r="AM496" s="45"/>
      <c r="AN496" s="45"/>
      <c r="AO496" s="45"/>
      <c r="AP496" s="45"/>
    </row>
    <row r="497" ht="15.75" customHeight="1" spans="34:42" x14ac:dyDescent="0.25">
      <c r="AH497" s="45"/>
      <c r="AI497" s="45"/>
      <c r="AJ497" s="45"/>
      <c r="AK497" s="45"/>
      <c r="AL497" s="45"/>
      <c r="AM497" s="45"/>
      <c r="AN497" s="45"/>
      <c r="AO497" s="45"/>
      <c r="AP497" s="45"/>
    </row>
    <row r="498" ht="15.75" customHeight="1" spans="34:42" x14ac:dyDescent="0.25">
      <c r="AH498" s="45"/>
      <c r="AI498" s="45"/>
      <c r="AJ498" s="45"/>
      <c r="AK498" s="45"/>
      <c r="AL498" s="45"/>
      <c r="AM498" s="45"/>
      <c r="AN498" s="45"/>
      <c r="AO498" s="45"/>
      <c r="AP498" s="45"/>
    </row>
    <row r="499" ht="15.75" customHeight="1" spans="34:42" x14ac:dyDescent="0.25">
      <c r="AH499" s="45"/>
      <c r="AI499" s="45"/>
      <c r="AJ499" s="45"/>
      <c r="AK499" s="45"/>
      <c r="AL499" s="45"/>
      <c r="AM499" s="45"/>
      <c r="AN499" s="45"/>
      <c r="AO499" s="45"/>
      <c r="AP499" s="45"/>
    </row>
    <row r="500" ht="15.75" customHeight="1" spans="34:42" x14ac:dyDescent="0.25">
      <c r="AH500" s="45"/>
      <c r="AI500" s="45"/>
      <c r="AJ500" s="45"/>
      <c r="AK500" s="45"/>
      <c r="AL500" s="45"/>
      <c r="AM500" s="45"/>
      <c r="AN500" s="45"/>
      <c r="AO500" s="45"/>
      <c r="AP500" s="45"/>
    </row>
    <row r="501" ht="15.75" customHeight="1" spans="34:42" x14ac:dyDescent="0.25">
      <c r="AH501" s="45"/>
      <c r="AI501" s="45"/>
      <c r="AJ501" s="45"/>
      <c r="AK501" s="45"/>
      <c r="AL501" s="45"/>
      <c r="AM501" s="45"/>
      <c r="AN501" s="45"/>
      <c r="AO501" s="45"/>
      <c r="AP501" s="45"/>
    </row>
    <row r="502" ht="15.75" customHeight="1" spans="34:42" x14ac:dyDescent="0.25">
      <c r="AH502" s="45"/>
      <c r="AI502" s="45"/>
      <c r="AJ502" s="45"/>
      <c r="AK502" s="45"/>
      <c r="AL502" s="45"/>
      <c r="AM502" s="45"/>
      <c r="AN502" s="45"/>
      <c r="AO502" s="45"/>
      <c r="AP502" s="45"/>
    </row>
    <row r="503" ht="15.75" customHeight="1" spans="34:42" x14ac:dyDescent="0.25">
      <c r="AH503" s="45"/>
      <c r="AI503" s="45"/>
      <c r="AJ503" s="45"/>
      <c r="AK503" s="45"/>
      <c r="AL503" s="45"/>
      <c r="AM503" s="45"/>
      <c r="AN503" s="45"/>
      <c r="AO503" s="45"/>
      <c r="AP503" s="45"/>
    </row>
    <row r="504" ht="15.75" customHeight="1" spans="34:42" x14ac:dyDescent="0.25">
      <c r="AH504" s="45"/>
      <c r="AI504" s="45"/>
      <c r="AJ504" s="45"/>
      <c r="AK504" s="45"/>
      <c r="AL504" s="45"/>
      <c r="AM504" s="45"/>
      <c r="AN504" s="45"/>
      <c r="AO504" s="45"/>
      <c r="AP504" s="45"/>
    </row>
    <row r="505" ht="15.75" customHeight="1" spans="34:42" x14ac:dyDescent="0.25">
      <c r="AH505" s="45"/>
      <c r="AI505" s="45"/>
      <c r="AJ505" s="45"/>
      <c r="AK505" s="45"/>
      <c r="AL505" s="45"/>
      <c r="AM505" s="45"/>
      <c r="AN505" s="45"/>
      <c r="AO505" s="45"/>
      <c r="AP505" s="45"/>
    </row>
    <row r="506" ht="15.75" customHeight="1" spans="34:42" x14ac:dyDescent="0.25">
      <c r="AH506" s="45"/>
      <c r="AI506" s="45"/>
      <c r="AJ506" s="45"/>
      <c r="AK506" s="45"/>
      <c r="AL506" s="45"/>
      <c r="AM506" s="45"/>
      <c r="AN506" s="45"/>
      <c r="AO506" s="45"/>
      <c r="AP506" s="45"/>
    </row>
    <row r="507" ht="15.75" customHeight="1" spans="34:42" x14ac:dyDescent="0.25">
      <c r="AH507" s="45"/>
      <c r="AI507" s="45"/>
      <c r="AJ507" s="45"/>
      <c r="AK507" s="45"/>
      <c r="AL507" s="45"/>
      <c r="AM507" s="45"/>
      <c r="AN507" s="45"/>
      <c r="AO507" s="45"/>
      <c r="AP507" s="45"/>
    </row>
    <row r="508" ht="15.75" customHeight="1" spans="34:42" x14ac:dyDescent="0.25">
      <c r="AH508" s="45"/>
      <c r="AI508" s="45"/>
      <c r="AJ508" s="45"/>
      <c r="AK508" s="45"/>
      <c r="AL508" s="45"/>
      <c r="AM508" s="45"/>
      <c r="AN508" s="45"/>
      <c r="AO508" s="45"/>
      <c r="AP508" s="45"/>
    </row>
    <row r="509" ht="15.75" customHeight="1" spans="34:42" x14ac:dyDescent="0.25">
      <c r="AH509" s="45"/>
      <c r="AI509" s="45"/>
      <c r="AJ509" s="45"/>
      <c r="AK509" s="45"/>
      <c r="AL509" s="45"/>
      <c r="AM509" s="45"/>
      <c r="AN509" s="45"/>
      <c r="AO509" s="45"/>
      <c r="AP509" s="45"/>
    </row>
    <row r="510" ht="15.75" customHeight="1" spans="34:42" x14ac:dyDescent="0.25">
      <c r="AH510" s="45"/>
      <c r="AI510" s="45"/>
      <c r="AJ510" s="45"/>
      <c r="AK510" s="45"/>
      <c r="AL510" s="45"/>
      <c r="AM510" s="45"/>
      <c r="AN510" s="45"/>
      <c r="AO510" s="45"/>
      <c r="AP510" s="45"/>
    </row>
    <row r="511" ht="15.75" customHeight="1" spans="34:42" x14ac:dyDescent="0.25">
      <c r="AH511" s="45"/>
      <c r="AI511" s="45"/>
      <c r="AJ511" s="45"/>
      <c r="AK511" s="45"/>
      <c r="AL511" s="45"/>
      <c r="AM511" s="45"/>
      <c r="AN511" s="45"/>
      <c r="AO511" s="45"/>
      <c r="AP511" s="45"/>
    </row>
    <row r="512" ht="15.75" customHeight="1" spans="34:42" x14ac:dyDescent="0.25">
      <c r="AH512" s="45"/>
      <c r="AI512" s="45"/>
      <c r="AJ512" s="45"/>
      <c r="AK512" s="45"/>
      <c r="AL512" s="45"/>
      <c r="AM512" s="45"/>
      <c r="AN512" s="45"/>
      <c r="AO512" s="45"/>
      <c r="AP512" s="45"/>
    </row>
    <row r="513" ht="15.75" customHeight="1" spans="34:42" x14ac:dyDescent="0.25">
      <c r="AH513" s="45"/>
      <c r="AI513" s="45"/>
      <c r="AJ513" s="45"/>
      <c r="AK513" s="45"/>
      <c r="AL513" s="45"/>
      <c r="AM513" s="45"/>
      <c r="AN513" s="45"/>
      <c r="AO513" s="45"/>
      <c r="AP513" s="45"/>
    </row>
    <row r="514" ht="15.75" customHeight="1" spans="34:42" x14ac:dyDescent="0.25">
      <c r="AH514" s="45"/>
      <c r="AI514" s="45"/>
      <c r="AJ514" s="45"/>
      <c r="AK514" s="45"/>
      <c r="AL514" s="45"/>
      <c r="AM514" s="45"/>
      <c r="AN514" s="45"/>
      <c r="AO514" s="45"/>
      <c r="AP514" s="45"/>
    </row>
    <row r="515" ht="15.75" customHeight="1" spans="34:42" x14ac:dyDescent="0.25">
      <c r="AH515" s="45"/>
      <c r="AI515" s="45"/>
      <c r="AJ515" s="45"/>
      <c r="AK515" s="45"/>
      <c r="AL515" s="45"/>
      <c r="AM515" s="45"/>
      <c r="AN515" s="45"/>
      <c r="AO515" s="45"/>
      <c r="AP515" s="45"/>
    </row>
    <row r="516" ht="15.75" customHeight="1" spans="34:42" x14ac:dyDescent="0.25">
      <c r="AH516" s="45"/>
      <c r="AI516" s="45"/>
      <c r="AJ516" s="45"/>
      <c r="AK516" s="45"/>
      <c r="AL516" s="45"/>
      <c r="AM516" s="45"/>
      <c r="AN516" s="45"/>
      <c r="AO516" s="45"/>
      <c r="AP516" s="45"/>
    </row>
    <row r="517" ht="15.75" customHeight="1" spans="34:42" x14ac:dyDescent="0.25">
      <c r="AH517" s="45"/>
      <c r="AI517" s="45"/>
      <c r="AJ517" s="45"/>
      <c r="AK517" s="45"/>
      <c r="AL517" s="45"/>
      <c r="AM517" s="45"/>
      <c r="AN517" s="45"/>
      <c r="AO517" s="45"/>
      <c r="AP517" s="45"/>
    </row>
    <row r="518" ht="15.75" customHeight="1" spans="34:42" x14ac:dyDescent="0.25">
      <c r="AH518" s="45"/>
      <c r="AI518" s="45"/>
      <c r="AJ518" s="45"/>
      <c r="AK518" s="45"/>
      <c r="AL518" s="45"/>
      <c r="AM518" s="45"/>
      <c r="AN518" s="45"/>
      <c r="AO518" s="45"/>
      <c r="AP518" s="45"/>
    </row>
    <row r="519" ht="15.75" customHeight="1" spans="34:42" x14ac:dyDescent="0.25">
      <c r="AH519" s="45"/>
      <c r="AI519" s="45"/>
      <c r="AJ519" s="45"/>
      <c r="AK519" s="45"/>
      <c r="AL519" s="45"/>
      <c r="AM519" s="45"/>
      <c r="AN519" s="45"/>
      <c r="AO519" s="45"/>
      <c r="AP519" s="45"/>
    </row>
    <row r="520" ht="15.75" customHeight="1" spans="34:42" x14ac:dyDescent="0.25">
      <c r="AH520" s="45"/>
      <c r="AI520" s="45"/>
      <c r="AJ520" s="45"/>
      <c r="AK520" s="45"/>
      <c r="AL520" s="45"/>
      <c r="AM520" s="45"/>
      <c r="AN520" s="45"/>
      <c r="AO520" s="45"/>
      <c r="AP520" s="45"/>
    </row>
    <row r="521" ht="15.75" customHeight="1" spans="34:42" x14ac:dyDescent="0.25">
      <c r="AH521" s="45"/>
      <c r="AI521" s="45"/>
      <c r="AJ521" s="45"/>
      <c r="AK521" s="45"/>
      <c r="AL521" s="45"/>
      <c r="AM521" s="45"/>
      <c r="AN521" s="45"/>
      <c r="AO521" s="45"/>
      <c r="AP521" s="45"/>
    </row>
    <row r="522" ht="15.75" customHeight="1" spans="34:42" x14ac:dyDescent="0.25">
      <c r="AH522" s="45"/>
      <c r="AI522" s="45"/>
      <c r="AJ522" s="45"/>
      <c r="AK522" s="45"/>
      <c r="AL522" s="45"/>
      <c r="AM522" s="45"/>
      <c r="AN522" s="45"/>
      <c r="AO522" s="45"/>
      <c r="AP522" s="45"/>
    </row>
    <row r="523" ht="15.75" customHeight="1" spans="34:42" x14ac:dyDescent="0.25">
      <c r="AH523" s="45"/>
      <c r="AI523" s="45"/>
      <c r="AJ523" s="45"/>
      <c r="AK523" s="45"/>
      <c r="AL523" s="45"/>
      <c r="AM523" s="45"/>
      <c r="AN523" s="45"/>
      <c r="AO523" s="45"/>
      <c r="AP523" s="45"/>
    </row>
    <row r="524" ht="15.75" customHeight="1" spans="34:42" x14ac:dyDescent="0.25">
      <c r="AH524" s="45"/>
      <c r="AI524" s="45"/>
      <c r="AJ524" s="45"/>
      <c r="AK524" s="45"/>
      <c r="AL524" s="45"/>
      <c r="AM524" s="45"/>
      <c r="AN524" s="45"/>
      <c r="AO524" s="45"/>
      <c r="AP524" s="45"/>
    </row>
    <row r="525" ht="15.75" customHeight="1" spans="34:42" x14ac:dyDescent="0.25">
      <c r="AH525" s="45"/>
      <c r="AI525" s="45"/>
      <c r="AJ525" s="45"/>
      <c r="AK525" s="45"/>
      <c r="AL525" s="45"/>
      <c r="AM525" s="45"/>
      <c r="AN525" s="45"/>
      <c r="AO525" s="45"/>
      <c r="AP525" s="45"/>
    </row>
    <row r="526" ht="15.75" customHeight="1" spans="34:42" x14ac:dyDescent="0.25">
      <c r="AH526" s="45"/>
      <c r="AI526" s="45"/>
      <c r="AJ526" s="45"/>
      <c r="AK526" s="45"/>
      <c r="AL526" s="45"/>
      <c r="AM526" s="45"/>
      <c r="AN526" s="45"/>
      <c r="AO526" s="45"/>
      <c r="AP526" s="45"/>
    </row>
    <row r="527" ht="15.75" customHeight="1" spans="34:42" x14ac:dyDescent="0.25">
      <c r="AH527" s="45"/>
      <c r="AI527" s="45"/>
      <c r="AJ527" s="45"/>
      <c r="AK527" s="45"/>
      <c r="AL527" s="45"/>
      <c r="AM527" s="45"/>
      <c r="AN527" s="45"/>
      <c r="AO527" s="45"/>
      <c r="AP527" s="45"/>
    </row>
    <row r="528" ht="15.75" customHeight="1" spans="34:42" x14ac:dyDescent="0.25">
      <c r="AH528" s="45"/>
      <c r="AI528" s="45"/>
      <c r="AJ528" s="45"/>
      <c r="AK528" s="45"/>
      <c r="AL528" s="45"/>
      <c r="AM528" s="45"/>
      <c r="AN528" s="45"/>
      <c r="AO528" s="45"/>
      <c r="AP528" s="45"/>
    </row>
    <row r="529" ht="15.75" customHeight="1" spans="34:42" x14ac:dyDescent="0.25">
      <c r="AH529" s="45"/>
      <c r="AI529" s="45"/>
      <c r="AJ529" s="45"/>
      <c r="AK529" s="45"/>
      <c r="AL529" s="45"/>
      <c r="AM529" s="45"/>
      <c r="AN529" s="45"/>
      <c r="AO529" s="45"/>
      <c r="AP529" s="45"/>
    </row>
    <row r="530" ht="15.75" customHeight="1" spans="34:42" x14ac:dyDescent="0.25">
      <c r="AH530" s="45"/>
      <c r="AI530" s="45"/>
      <c r="AJ530" s="45"/>
      <c r="AK530" s="45"/>
      <c r="AL530" s="45"/>
      <c r="AM530" s="45"/>
      <c r="AN530" s="45"/>
      <c r="AO530" s="45"/>
      <c r="AP530" s="45"/>
    </row>
    <row r="531" ht="15.75" customHeight="1" spans="34:42" x14ac:dyDescent="0.25">
      <c r="AH531" s="45"/>
      <c r="AI531" s="45"/>
      <c r="AJ531" s="45"/>
      <c r="AK531" s="45"/>
      <c r="AL531" s="45"/>
      <c r="AM531" s="45"/>
      <c r="AN531" s="45"/>
      <c r="AO531" s="45"/>
      <c r="AP531" s="45"/>
    </row>
    <row r="532" ht="15.75" customHeight="1" spans="34:42" x14ac:dyDescent="0.25">
      <c r="AH532" s="45"/>
      <c r="AI532" s="45"/>
      <c r="AJ532" s="45"/>
      <c r="AK532" s="45"/>
      <c r="AL532" s="45"/>
      <c r="AM532" s="45"/>
      <c r="AN532" s="45"/>
      <c r="AO532" s="45"/>
      <c r="AP532" s="45"/>
    </row>
    <row r="533" ht="15.75" customHeight="1" spans="34:42" x14ac:dyDescent="0.25">
      <c r="AH533" s="45"/>
      <c r="AI533" s="45"/>
      <c r="AJ533" s="45"/>
      <c r="AK533" s="45"/>
      <c r="AL533" s="45"/>
      <c r="AM533" s="45"/>
      <c r="AN533" s="45"/>
      <c r="AO533" s="45"/>
      <c r="AP533" s="45"/>
    </row>
    <row r="534" ht="15.75" customHeight="1" spans="34:42" x14ac:dyDescent="0.25">
      <c r="AH534" s="45"/>
      <c r="AI534" s="45"/>
      <c r="AJ534" s="45"/>
      <c r="AK534" s="45"/>
      <c r="AL534" s="45"/>
      <c r="AM534" s="45"/>
      <c r="AN534" s="45"/>
      <c r="AO534" s="45"/>
      <c r="AP534" s="45"/>
    </row>
    <row r="535" ht="15.75" customHeight="1" spans="34:42" x14ac:dyDescent="0.25">
      <c r="AH535" s="45"/>
      <c r="AI535" s="45"/>
      <c r="AJ535" s="45"/>
      <c r="AK535" s="45"/>
      <c r="AL535" s="45"/>
      <c r="AM535" s="45"/>
      <c r="AN535" s="45"/>
      <c r="AO535" s="45"/>
      <c r="AP535" s="45"/>
    </row>
    <row r="536" ht="15.75" customHeight="1" spans="34:42" x14ac:dyDescent="0.25">
      <c r="AH536" s="45"/>
      <c r="AI536" s="45"/>
      <c r="AJ536" s="45"/>
      <c r="AK536" s="45"/>
      <c r="AL536" s="45"/>
      <c r="AM536" s="45"/>
      <c r="AN536" s="45"/>
      <c r="AO536" s="45"/>
      <c r="AP536" s="45"/>
    </row>
    <row r="537" ht="15.75" customHeight="1" spans="34:42" x14ac:dyDescent="0.25">
      <c r="AH537" s="45"/>
      <c r="AI537" s="45"/>
      <c r="AJ537" s="45"/>
      <c r="AK537" s="45"/>
      <c r="AL537" s="45"/>
      <c r="AM537" s="45"/>
      <c r="AN537" s="45"/>
      <c r="AO537" s="45"/>
      <c r="AP537" s="45"/>
    </row>
    <row r="538" ht="15.75" customHeight="1" spans="34:42" x14ac:dyDescent="0.25">
      <c r="AH538" s="45"/>
      <c r="AI538" s="45"/>
      <c r="AJ538" s="45"/>
      <c r="AK538" s="45"/>
      <c r="AL538" s="45"/>
      <c r="AM538" s="45"/>
      <c r="AN538" s="45"/>
      <c r="AO538" s="45"/>
      <c r="AP538" s="45"/>
    </row>
    <row r="539" ht="15.75" customHeight="1" spans="34:42" x14ac:dyDescent="0.25">
      <c r="AH539" s="45"/>
      <c r="AI539" s="45"/>
      <c r="AJ539" s="45"/>
      <c r="AK539" s="45"/>
      <c r="AL539" s="45"/>
      <c r="AM539" s="45"/>
      <c r="AN539" s="45"/>
      <c r="AO539" s="45"/>
      <c r="AP539" s="45"/>
    </row>
    <row r="540" ht="15.75" customHeight="1" spans="34:42" x14ac:dyDescent="0.25">
      <c r="AH540" s="45"/>
      <c r="AI540" s="45"/>
      <c r="AJ540" s="45"/>
      <c r="AK540" s="45"/>
      <c r="AL540" s="45"/>
      <c r="AM540" s="45"/>
      <c r="AN540" s="45"/>
      <c r="AO540" s="45"/>
      <c r="AP540" s="45"/>
    </row>
    <row r="541" ht="15.75" customHeight="1" spans="34:42" x14ac:dyDescent="0.25">
      <c r="AH541" s="45"/>
      <c r="AI541" s="45"/>
      <c r="AJ541" s="45"/>
      <c r="AK541" s="45"/>
      <c r="AL541" s="45"/>
      <c r="AM541" s="45"/>
      <c r="AN541" s="45"/>
      <c r="AO541" s="45"/>
      <c r="AP541" s="45"/>
    </row>
    <row r="542" ht="15.75" customHeight="1" spans="34:42" x14ac:dyDescent="0.25">
      <c r="AH542" s="45"/>
      <c r="AI542" s="45"/>
      <c r="AJ542" s="45"/>
      <c r="AK542" s="45"/>
      <c r="AL542" s="45"/>
      <c r="AM542" s="45"/>
      <c r="AN542" s="45"/>
      <c r="AO542" s="45"/>
      <c r="AP542" s="45"/>
    </row>
    <row r="543" ht="15.75" customHeight="1" spans="34:42" x14ac:dyDescent="0.25">
      <c r="AH543" s="45"/>
      <c r="AI543" s="45"/>
      <c r="AJ543" s="45"/>
      <c r="AK543" s="45"/>
      <c r="AL543" s="45"/>
      <c r="AM543" s="45"/>
      <c r="AN543" s="45"/>
      <c r="AO543" s="45"/>
      <c r="AP543" s="45"/>
    </row>
    <row r="544" ht="15.75" customHeight="1" spans="34:42" x14ac:dyDescent="0.25">
      <c r="AH544" s="45"/>
      <c r="AI544" s="45"/>
      <c r="AJ544" s="45"/>
      <c r="AK544" s="45"/>
      <c r="AL544" s="45"/>
      <c r="AM544" s="45"/>
      <c r="AN544" s="45"/>
      <c r="AO544" s="45"/>
      <c r="AP544" s="45"/>
    </row>
    <row r="545" ht="15.75" customHeight="1" spans="34:42" x14ac:dyDescent="0.25">
      <c r="AH545" s="45"/>
      <c r="AI545" s="45"/>
      <c r="AJ545" s="45"/>
      <c r="AK545" s="45"/>
      <c r="AL545" s="45"/>
      <c r="AM545" s="45"/>
      <c r="AN545" s="45"/>
      <c r="AO545" s="45"/>
      <c r="AP545" s="45"/>
    </row>
    <row r="546" ht="15.75" customHeight="1" spans="34:42" x14ac:dyDescent="0.25">
      <c r="AH546" s="45"/>
      <c r="AI546" s="45"/>
      <c r="AJ546" s="45"/>
      <c r="AK546" s="45"/>
      <c r="AL546" s="45"/>
      <c r="AM546" s="45"/>
      <c r="AN546" s="45"/>
      <c r="AO546" s="45"/>
      <c r="AP546" s="45"/>
    </row>
    <row r="547" ht="15.75" customHeight="1" spans="34:42" x14ac:dyDescent="0.25">
      <c r="AH547" s="45"/>
      <c r="AI547" s="45"/>
      <c r="AJ547" s="45"/>
      <c r="AK547" s="45"/>
      <c r="AL547" s="45"/>
      <c r="AM547" s="45"/>
      <c r="AN547" s="45"/>
      <c r="AO547" s="45"/>
      <c r="AP547" s="45"/>
    </row>
    <row r="548" ht="15.75" customHeight="1" spans="34:42" x14ac:dyDescent="0.25">
      <c r="AH548" s="45"/>
      <c r="AI548" s="45"/>
      <c r="AJ548" s="45"/>
      <c r="AK548" s="45"/>
      <c r="AL548" s="45"/>
      <c r="AM548" s="45"/>
      <c r="AN548" s="45"/>
      <c r="AO548" s="45"/>
      <c r="AP548" s="45"/>
    </row>
    <row r="549" ht="15.75" customHeight="1" spans="34:42" x14ac:dyDescent="0.25">
      <c r="AH549" s="45"/>
      <c r="AI549" s="45"/>
      <c r="AJ549" s="45"/>
      <c r="AK549" s="45"/>
      <c r="AL549" s="45"/>
      <c r="AM549" s="45"/>
      <c r="AN549" s="45"/>
      <c r="AO549" s="45"/>
      <c r="AP549" s="45"/>
    </row>
    <row r="550" ht="15.75" customHeight="1" spans="34:42" x14ac:dyDescent="0.25">
      <c r="AH550" s="45"/>
      <c r="AI550" s="45"/>
      <c r="AJ550" s="45"/>
      <c r="AK550" s="45"/>
      <c r="AL550" s="45"/>
      <c r="AM550" s="45"/>
      <c r="AN550" s="45"/>
      <c r="AO550" s="45"/>
      <c r="AP550" s="45"/>
    </row>
    <row r="551" ht="15.75" customHeight="1" spans="34:42" x14ac:dyDescent="0.25">
      <c r="AH551" s="45"/>
      <c r="AI551" s="45"/>
      <c r="AJ551" s="45"/>
      <c r="AK551" s="45"/>
      <c r="AL551" s="45"/>
      <c r="AM551" s="45"/>
      <c r="AN551" s="45"/>
      <c r="AO551" s="45"/>
      <c r="AP551" s="45"/>
    </row>
    <row r="552" ht="15.75" customHeight="1" spans="34:42" x14ac:dyDescent="0.25">
      <c r="AH552" s="45"/>
      <c r="AI552" s="45"/>
      <c r="AJ552" s="45"/>
      <c r="AK552" s="45"/>
      <c r="AL552" s="45"/>
      <c r="AM552" s="45"/>
      <c r="AN552" s="45"/>
      <c r="AO552" s="45"/>
      <c r="AP552" s="45"/>
    </row>
    <row r="553" ht="15.75" customHeight="1" spans="34:42" x14ac:dyDescent="0.25">
      <c r="AH553" s="45"/>
      <c r="AI553" s="45"/>
      <c r="AJ553" s="45"/>
      <c r="AK553" s="45"/>
      <c r="AL553" s="45"/>
      <c r="AM553" s="45"/>
      <c r="AN553" s="45"/>
      <c r="AO553" s="45"/>
      <c r="AP553" s="45"/>
    </row>
    <row r="554" ht="15.75" customHeight="1" spans="34:42" x14ac:dyDescent="0.25">
      <c r="AH554" s="45"/>
      <c r="AI554" s="45"/>
      <c r="AJ554" s="45"/>
      <c r="AK554" s="45"/>
      <c r="AL554" s="45"/>
      <c r="AM554" s="45"/>
      <c r="AN554" s="45"/>
      <c r="AO554" s="45"/>
      <c r="AP554" s="45"/>
    </row>
    <row r="555" ht="15.75" customHeight="1" spans="34:42" x14ac:dyDescent="0.25">
      <c r="AH555" s="45"/>
      <c r="AI555" s="45"/>
      <c r="AJ555" s="45"/>
      <c r="AK555" s="45"/>
      <c r="AL555" s="45"/>
      <c r="AM555" s="45"/>
      <c r="AN555" s="45"/>
      <c r="AO555" s="45"/>
      <c r="AP555" s="45"/>
    </row>
    <row r="556" ht="15.75" customHeight="1" spans="34:42" x14ac:dyDescent="0.25">
      <c r="AH556" s="45"/>
      <c r="AI556" s="45"/>
      <c r="AJ556" s="45"/>
      <c r="AK556" s="45"/>
      <c r="AL556" s="45"/>
      <c r="AM556" s="45"/>
      <c r="AN556" s="45"/>
      <c r="AO556" s="45"/>
      <c r="AP556" s="45"/>
    </row>
    <row r="557" ht="15.75" customHeight="1" spans="34:42" x14ac:dyDescent="0.25">
      <c r="AH557" s="45"/>
      <c r="AI557" s="45"/>
      <c r="AJ557" s="45"/>
      <c r="AK557" s="45"/>
      <c r="AL557" s="45"/>
      <c r="AM557" s="45"/>
      <c r="AN557" s="45"/>
      <c r="AO557" s="45"/>
      <c r="AP557" s="45"/>
    </row>
    <row r="558" ht="15.75" customHeight="1" spans="34:42" x14ac:dyDescent="0.25">
      <c r="AH558" s="45"/>
      <c r="AI558" s="45"/>
      <c r="AJ558" s="45"/>
      <c r="AK558" s="45"/>
      <c r="AL558" s="45"/>
      <c r="AM558" s="45"/>
      <c r="AN558" s="45"/>
      <c r="AO558" s="45"/>
      <c r="AP558" s="45"/>
    </row>
    <row r="559" ht="15.75" customHeight="1" spans="34:42" x14ac:dyDescent="0.25">
      <c r="AH559" s="45"/>
      <c r="AI559" s="45"/>
      <c r="AJ559" s="45"/>
      <c r="AK559" s="45"/>
      <c r="AL559" s="45"/>
      <c r="AM559" s="45"/>
      <c r="AN559" s="45"/>
      <c r="AO559" s="45"/>
      <c r="AP559" s="45"/>
    </row>
    <row r="560" ht="15.75" customHeight="1" spans="34:42" x14ac:dyDescent="0.25">
      <c r="AH560" s="45"/>
      <c r="AI560" s="45"/>
      <c r="AJ560" s="45"/>
      <c r="AK560" s="45"/>
      <c r="AL560" s="45"/>
      <c r="AM560" s="45"/>
      <c r="AN560" s="45"/>
      <c r="AO560" s="45"/>
      <c r="AP560" s="45"/>
    </row>
    <row r="561" ht="15.75" customHeight="1" spans="34:42" x14ac:dyDescent="0.25">
      <c r="AH561" s="45"/>
      <c r="AI561" s="45"/>
      <c r="AJ561" s="45"/>
      <c r="AK561" s="45"/>
      <c r="AL561" s="45"/>
      <c r="AM561" s="45"/>
      <c r="AN561" s="45"/>
      <c r="AO561" s="45"/>
      <c r="AP561" s="45"/>
    </row>
    <row r="562" ht="15.75" customHeight="1" spans="34:42" x14ac:dyDescent="0.25">
      <c r="AH562" s="45"/>
      <c r="AI562" s="45"/>
      <c r="AJ562" s="45"/>
      <c r="AK562" s="45"/>
      <c r="AL562" s="45"/>
      <c r="AM562" s="45"/>
      <c r="AN562" s="45"/>
      <c r="AO562" s="45"/>
      <c r="AP562" s="45"/>
    </row>
    <row r="563" ht="15.75" customHeight="1" spans="34:42" x14ac:dyDescent="0.25">
      <c r="AH563" s="45"/>
      <c r="AI563" s="45"/>
      <c r="AJ563" s="45"/>
      <c r="AK563" s="45"/>
      <c r="AL563" s="45"/>
      <c r="AM563" s="45"/>
      <c r="AN563" s="45"/>
      <c r="AO563" s="45"/>
      <c r="AP563" s="45"/>
    </row>
    <row r="564" ht="15.75" customHeight="1" spans="34:42" x14ac:dyDescent="0.25">
      <c r="AH564" s="45"/>
      <c r="AI564" s="45"/>
      <c r="AJ564" s="45"/>
      <c r="AK564" s="45"/>
      <c r="AL564" s="45"/>
      <c r="AM564" s="45"/>
      <c r="AN564" s="45"/>
      <c r="AO564" s="45"/>
      <c r="AP564" s="45"/>
    </row>
    <row r="565" ht="15.75" customHeight="1" spans="34:42" x14ac:dyDescent="0.25">
      <c r="AH565" s="45"/>
      <c r="AI565" s="45"/>
      <c r="AJ565" s="45"/>
      <c r="AK565" s="45"/>
      <c r="AL565" s="45"/>
      <c r="AM565" s="45"/>
      <c r="AN565" s="45"/>
      <c r="AO565" s="45"/>
      <c r="AP565" s="45"/>
    </row>
    <row r="566" ht="15.75" customHeight="1" spans="34:42" x14ac:dyDescent="0.25">
      <c r="AH566" s="45"/>
      <c r="AI566" s="45"/>
      <c r="AJ566" s="45"/>
      <c r="AK566" s="45"/>
      <c r="AL566" s="45"/>
      <c r="AM566" s="45"/>
      <c r="AN566" s="45"/>
      <c r="AO566" s="45"/>
      <c r="AP566" s="45"/>
    </row>
    <row r="567" ht="15.75" customHeight="1" spans="34:42" x14ac:dyDescent="0.25">
      <c r="AH567" s="45"/>
      <c r="AI567" s="45"/>
      <c r="AJ567" s="45"/>
      <c r="AK567" s="45"/>
      <c r="AL567" s="45"/>
      <c r="AM567" s="45"/>
      <c r="AN567" s="45"/>
      <c r="AO567" s="45"/>
      <c r="AP567" s="45"/>
    </row>
    <row r="568" ht="15.75" customHeight="1" spans="34:42" x14ac:dyDescent="0.25">
      <c r="AH568" s="45"/>
      <c r="AI568" s="45"/>
      <c r="AJ568" s="45"/>
      <c r="AK568" s="45"/>
      <c r="AL568" s="45"/>
      <c r="AM568" s="45"/>
      <c r="AN568" s="45"/>
      <c r="AO568" s="45"/>
      <c r="AP568" s="45"/>
    </row>
    <row r="569" ht="15.75" customHeight="1" spans="34:42" x14ac:dyDescent="0.25">
      <c r="AH569" s="45"/>
      <c r="AI569" s="45"/>
      <c r="AJ569" s="45"/>
      <c r="AK569" s="45"/>
      <c r="AL569" s="45"/>
      <c r="AM569" s="45"/>
      <c r="AN569" s="45"/>
      <c r="AO569" s="45"/>
      <c r="AP569" s="45"/>
    </row>
    <row r="570" ht="15.75" customHeight="1" spans="34:42" x14ac:dyDescent="0.25">
      <c r="AH570" s="45"/>
      <c r="AI570" s="45"/>
      <c r="AJ570" s="45"/>
      <c r="AK570" s="45"/>
      <c r="AL570" s="45"/>
      <c r="AM570" s="45"/>
      <c r="AN570" s="45"/>
      <c r="AO570" s="45"/>
      <c r="AP570" s="45"/>
    </row>
    <row r="571" ht="15.75" customHeight="1" spans="34:42" x14ac:dyDescent="0.25">
      <c r="AH571" s="45"/>
      <c r="AI571" s="45"/>
      <c r="AJ571" s="45"/>
      <c r="AK571" s="45"/>
      <c r="AL571" s="45"/>
      <c r="AM571" s="45"/>
      <c r="AN571" s="45"/>
      <c r="AO571" s="45"/>
      <c r="AP571" s="45"/>
    </row>
    <row r="572" ht="15.75" customHeight="1" spans="34:42" x14ac:dyDescent="0.25">
      <c r="AH572" s="45"/>
      <c r="AI572" s="45"/>
      <c r="AJ572" s="45"/>
      <c r="AK572" s="45"/>
      <c r="AL572" s="45"/>
      <c r="AM572" s="45"/>
      <c r="AN572" s="45"/>
      <c r="AO572" s="45"/>
      <c r="AP572" s="45"/>
    </row>
    <row r="573" ht="15.75" customHeight="1" spans="34:42" x14ac:dyDescent="0.25">
      <c r="AH573" s="45"/>
      <c r="AI573" s="45"/>
      <c r="AJ573" s="45"/>
      <c r="AK573" s="45"/>
      <c r="AL573" s="45"/>
      <c r="AM573" s="45"/>
      <c r="AN573" s="45"/>
      <c r="AO573" s="45"/>
      <c r="AP573" s="45"/>
    </row>
    <row r="574" ht="15.75" customHeight="1" spans="34:42" x14ac:dyDescent="0.25">
      <c r="AH574" s="45"/>
      <c r="AI574" s="45"/>
      <c r="AJ574" s="45"/>
      <c r="AK574" s="45"/>
      <c r="AL574" s="45"/>
      <c r="AM574" s="45"/>
      <c r="AN574" s="45"/>
      <c r="AO574" s="45"/>
      <c r="AP574" s="45"/>
    </row>
    <row r="575" ht="15.75" customHeight="1" spans="34:42" x14ac:dyDescent="0.25">
      <c r="AH575" s="45"/>
      <c r="AI575" s="45"/>
      <c r="AJ575" s="45"/>
      <c r="AK575" s="45"/>
      <c r="AL575" s="45"/>
      <c r="AM575" s="45"/>
      <c r="AN575" s="45"/>
      <c r="AO575" s="45"/>
      <c r="AP575" s="45"/>
    </row>
    <row r="576" ht="15.75" customHeight="1" spans="34:42" x14ac:dyDescent="0.25">
      <c r="AH576" s="45"/>
      <c r="AI576" s="45"/>
      <c r="AJ576" s="45"/>
      <c r="AK576" s="45"/>
      <c r="AL576" s="45"/>
      <c r="AM576" s="45"/>
      <c r="AN576" s="45"/>
      <c r="AO576" s="45"/>
      <c r="AP576" s="45"/>
    </row>
    <row r="577" ht="15.75" customHeight="1" spans="34:42" x14ac:dyDescent="0.25">
      <c r="AH577" s="45"/>
      <c r="AI577" s="45"/>
      <c r="AJ577" s="45"/>
      <c r="AK577" s="45"/>
      <c r="AL577" s="45"/>
      <c r="AM577" s="45"/>
      <c r="AN577" s="45"/>
      <c r="AO577" s="45"/>
      <c r="AP577" s="45"/>
    </row>
    <row r="578" ht="15.75" customHeight="1" spans="34:42" x14ac:dyDescent="0.25">
      <c r="AH578" s="45"/>
      <c r="AI578" s="45"/>
      <c r="AJ578" s="45"/>
      <c r="AK578" s="45"/>
      <c r="AL578" s="45"/>
      <c r="AM578" s="45"/>
      <c r="AN578" s="45"/>
      <c r="AO578" s="45"/>
      <c r="AP578" s="45"/>
    </row>
    <row r="579" ht="15.75" customHeight="1" spans="34:42" x14ac:dyDescent="0.25">
      <c r="AH579" s="45"/>
      <c r="AI579" s="45"/>
      <c r="AJ579" s="45"/>
      <c r="AK579" s="45"/>
      <c r="AL579" s="45"/>
      <c r="AM579" s="45"/>
      <c r="AN579" s="45"/>
      <c r="AO579" s="45"/>
      <c r="AP579" s="45"/>
    </row>
    <row r="580" ht="15.75" customHeight="1" spans="34:42" x14ac:dyDescent="0.25">
      <c r="AH580" s="45"/>
      <c r="AI580" s="45"/>
      <c r="AJ580" s="45"/>
      <c r="AK580" s="45"/>
      <c r="AL580" s="45"/>
      <c r="AM580" s="45"/>
      <c r="AN580" s="45"/>
      <c r="AO580" s="45"/>
      <c r="AP580" s="45"/>
    </row>
    <row r="581" ht="15.75" customHeight="1" spans="34:42" x14ac:dyDescent="0.25">
      <c r="AH581" s="45"/>
      <c r="AI581" s="45"/>
      <c r="AJ581" s="45"/>
      <c r="AK581" s="45"/>
      <c r="AL581" s="45"/>
      <c r="AM581" s="45"/>
      <c r="AN581" s="45"/>
      <c r="AO581" s="45"/>
      <c r="AP581" s="45"/>
    </row>
    <row r="582" ht="15.75" customHeight="1" spans="34:42" x14ac:dyDescent="0.25">
      <c r="AH582" s="45"/>
      <c r="AI582" s="45"/>
      <c r="AJ582" s="45"/>
      <c r="AK582" s="45"/>
      <c r="AL582" s="45"/>
      <c r="AM582" s="45"/>
      <c r="AN582" s="45"/>
      <c r="AO582" s="45"/>
      <c r="AP582" s="45"/>
    </row>
    <row r="583" ht="15.75" customHeight="1" spans="34:42" x14ac:dyDescent="0.25">
      <c r="AH583" s="45"/>
      <c r="AI583" s="45"/>
      <c r="AJ583" s="45"/>
      <c r="AK583" s="45"/>
      <c r="AL583" s="45"/>
      <c r="AM583" s="45"/>
      <c r="AN583" s="45"/>
      <c r="AO583" s="45"/>
      <c r="AP583" s="45"/>
    </row>
    <row r="584" ht="15.75" customHeight="1" spans="34:42" x14ac:dyDescent="0.25">
      <c r="AH584" s="45"/>
      <c r="AI584" s="45"/>
      <c r="AJ584" s="45"/>
      <c r="AK584" s="45"/>
      <c r="AL584" s="45"/>
      <c r="AM584" s="45"/>
      <c r="AN584" s="45"/>
      <c r="AO584" s="45"/>
      <c r="AP584" s="45"/>
    </row>
    <row r="585" ht="15.75" customHeight="1" spans="34:42" x14ac:dyDescent="0.25">
      <c r="AH585" s="45"/>
      <c r="AI585" s="45"/>
      <c r="AJ585" s="45"/>
      <c r="AK585" s="45"/>
      <c r="AL585" s="45"/>
      <c r="AM585" s="45"/>
      <c r="AN585" s="45"/>
      <c r="AO585" s="45"/>
      <c r="AP585" s="45"/>
    </row>
    <row r="586" ht="15.75" customHeight="1" spans="34:42" x14ac:dyDescent="0.25">
      <c r="AH586" s="45"/>
      <c r="AI586" s="45"/>
      <c r="AJ586" s="45"/>
      <c r="AK586" s="45"/>
      <c r="AL586" s="45"/>
      <c r="AM586" s="45"/>
      <c r="AN586" s="45"/>
      <c r="AO586" s="45"/>
      <c r="AP586" s="45"/>
    </row>
    <row r="587" ht="15.75" customHeight="1" spans="34:42" x14ac:dyDescent="0.25">
      <c r="AH587" s="45"/>
      <c r="AI587" s="45"/>
      <c r="AJ587" s="45"/>
      <c r="AK587" s="45"/>
      <c r="AL587" s="45"/>
      <c r="AM587" s="45"/>
      <c r="AN587" s="45"/>
      <c r="AO587" s="45"/>
      <c r="AP587" s="45"/>
    </row>
    <row r="588" ht="15.75" customHeight="1" spans="34:42" x14ac:dyDescent="0.25">
      <c r="AH588" s="45"/>
      <c r="AI588" s="45"/>
      <c r="AJ588" s="45"/>
      <c r="AK588" s="45"/>
      <c r="AL588" s="45"/>
      <c r="AM588" s="45"/>
      <c r="AN588" s="45"/>
      <c r="AO588" s="45"/>
      <c r="AP588" s="45"/>
    </row>
    <row r="589" ht="15.75" customHeight="1" spans="34:42" x14ac:dyDescent="0.25">
      <c r="AH589" s="45"/>
      <c r="AI589" s="45"/>
      <c r="AJ589" s="45"/>
      <c r="AK589" s="45"/>
      <c r="AL589" s="45"/>
      <c r="AM589" s="45"/>
      <c r="AN589" s="45"/>
      <c r="AO589" s="45"/>
      <c r="AP589" s="45"/>
    </row>
    <row r="590" ht="15.75" customHeight="1" spans="34:42" x14ac:dyDescent="0.25">
      <c r="AH590" s="45"/>
      <c r="AI590" s="45"/>
      <c r="AJ590" s="45"/>
      <c r="AK590" s="45"/>
      <c r="AL590" s="45"/>
      <c r="AM590" s="45"/>
      <c r="AN590" s="45"/>
      <c r="AO590" s="45"/>
      <c r="AP590" s="45"/>
    </row>
    <row r="591" ht="15.75" customHeight="1" spans="34:42" x14ac:dyDescent="0.25">
      <c r="AH591" s="45"/>
      <c r="AI591" s="45"/>
      <c r="AJ591" s="45"/>
      <c r="AK591" s="45"/>
      <c r="AL591" s="45"/>
      <c r="AM591" s="45"/>
      <c r="AN591" s="45"/>
      <c r="AO591" s="45"/>
      <c r="AP591" s="45"/>
    </row>
    <row r="592" ht="15.75" customHeight="1" spans="34:42" x14ac:dyDescent="0.25">
      <c r="AH592" s="45"/>
      <c r="AI592" s="45"/>
      <c r="AJ592" s="45"/>
      <c r="AK592" s="45"/>
      <c r="AL592" s="45"/>
      <c r="AM592" s="45"/>
      <c r="AN592" s="45"/>
      <c r="AO592" s="45"/>
      <c r="AP592" s="45"/>
    </row>
    <row r="593" ht="15.75" customHeight="1" spans="34:42" x14ac:dyDescent="0.25">
      <c r="AH593" s="45"/>
      <c r="AI593" s="45"/>
      <c r="AJ593" s="45"/>
      <c r="AK593" s="45"/>
      <c r="AL593" s="45"/>
      <c r="AM593" s="45"/>
      <c r="AN593" s="45"/>
      <c r="AO593" s="45"/>
      <c r="AP593" s="45"/>
    </row>
    <row r="594" ht="15.75" customHeight="1" spans="34:42" x14ac:dyDescent="0.25">
      <c r="AH594" s="45"/>
      <c r="AI594" s="45"/>
      <c r="AJ594" s="45"/>
      <c r="AK594" s="45"/>
      <c r="AL594" s="45"/>
      <c r="AM594" s="45"/>
      <c r="AN594" s="45"/>
      <c r="AO594" s="45"/>
      <c r="AP594" s="45"/>
    </row>
    <row r="595" ht="15.75" customHeight="1" spans="34:42" x14ac:dyDescent="0.25">
      <c r="AH595" s="45"/>
      <c r="AI595" s="45"/>
      <c r="AJ595" s="45"/>
      <c r="AK595" s="45"/>
      <c r="AL595" s="45"/>
      <c r="AM595" s="45"/>
      <c r="AN595" s="45"/>
      <c r="AO595" s="45"/>
      <c r="AP595" s="45"/>
    </row>
    <row r="596" ht="15.75" customHeight="1" spans="34:42" x14ac:dyDescent="0.25">
      <c r="AH596" s="45"/>
      <c r="AI596" s="45"/>
      <c r="AJ596" s="45"/>
      <c r="AK596" s="45"/>
      <c r="AL596" s="45"/>
      <c r="AM596" s="45"/>
      <c r="AN596" s="45"/>
      <c r="AO596" s="45"/>
      <c r="AP596" s="45"/>
    </row>
    <row r="597" ht="15.75" customHeight="1" spans="34:42" x14ac:dyDescent="0.25">
      <c r="AH597" s="45"/>
      <c r="AI597" s="45"/>
      <c r="AJ597" s="45"/>
      <c r="AK597" s="45"/>
      <c r="AL597" s="45"/>
      <c r="AM597" s="45"/>
      <c r="AN597" s="45"/>
      <c r="AO597" s="45"/>
      <c r="AP597" s="45"/>
    </row>
    <row r="598" ht="15.75" customHeight="1" spans="34:42" x14ac:dyDescent="0.25">
      <c r="AH598" s="45"/>
      <c r="AI598" s="45"/>
      <c r="AJ598" s="45"/>
      <c r="AK598" s="45"/>
      <c r="AL598" s="45"/>
      <c r="AM598" s="45"/>
      <c r="AN598" s="45"/>
      <c r="AO598" s="45"/>
      <c r="AP598" s="45"/>
    </row>
    <row r="599" ht="15.75" customHeight="1" spans="34:42" x14ac:dyDescent="0.25">
      <c r="AH599" s="45"/>
      <c r="AI599" s="45"/>
      <c r="AJ599" s="45"/>
      <c r="AK599" s="45"/>
      <c r="AL599" s="45"/>
      <c r="AM599" s="45"/>
      <c r="AN599" s="45"/>
      <c r="AO599" s="45"/>
      <c r="AP599" s="45"/>
    </row>
    <row r="600" ht="15.75" customHeight="1" spans="34:42" x14ac:dyDescent="0.25">
      <c r="AH600" s="45"/>
      <c r="AI600" s="45"/>
      <c r="AJ600" s="45"/>
      <c r="AK600" s="45"/>
      <c r="AL600" s="45"/>
      <c r="AM600" s="45"/>
      <c r="AN600" s="45"/>
      <c r="AO600" s="45"/>
      <c r="AP600" s="45"/>
    </row>
    <row r="601" ht="15.75" customHeight="1" spans="34:42" x14ac:dyDescent="0.25">
      <c r="AH601" s="45"/>
      <c r="AI601" s="45"/>
      <c r="AJ601" s="45"/>
      <c r="AK601" s="45"/>
      <c r="AL601" s="45"/>
      <c r="AM601" s="45"/>
      <c r="AN601" s="45"/>
      <c r="AO601" s="45"/>
      <c r="AP601" s="45"/>
    </row>
    <row r="602" ht="15.75" customHeight="1" spans="34:42" x14ac:dyDescent="0.25">
      <c r="AH602" s="45"/>
      <c r="AI602" s="45"/>
      <c r="AJ602" s="45"/>
      <c r="AK602" s="45"/>
      <c r="AL602" s="45"/>
      <c r="AM602" s="45"/>
      <c r="AN602" s="45"/>
      <c r="AO602" s="45"/>
      <c r="AP602" s="45"/>
    </row>
    <row r="603" ht="15.75" customHeight="1" spans="34:42" x14ac:dyDescent="0.25">
      <c r="AH603" s="45"/>
      <c r="AI603" s="45"/>
      <c r="AJ603" s="45"/>
      <c r="AK603" s="45"/>
      <c r="AL603" s="45"/>
      <c r="AM603" s="45"/>
      <c r="AN603" s="45"/>
      <c r="AO603" s="45"/>
      <c r="AP603" s="45"/>
    </row>
    <row r="604" ht="15.75" customHeight="1" spans="34:42" x14ac:dyDescent="0.25">
      <c r="AH604" s="45"/>
      <c r="AI604" s="45"/>
      <c r="AJ604" s="45"/>
      <c r="AK604" s="45"/>
      <c r="AL604" s="45"/>
      <c r="AM604" s="45"/>
      <c r="AN604" s="45"/>
      <c r="AO604" s="45"/>
      <c r="AP604" s="45"/>
    </row>
    <row r="605" ht="15.75" customHeight="1" spans="34:42" x14ac:dyDescent="0.25">
      <c r="AH605" s="45"/>
      <c r="AI605" s="45"/>
      <c r="AJ605" s="45"/>
      <c r="AK605" s="45"/>
      <c r="AL605" s="45"/>
      <c r="AM605" s="45"/>
      <c r="AN605" s="45"/>
      <c r="AO605" s="45"/>
      <c r="AP605" s="45"/>
    </row>
    <row r="606" ht="15.75" customHeight="1" spans="34:42" x14ac:dyDescent="0.25">
      <c r="AH606" s="45"/>
      <c r="AI606" s="45"/>
      <c r="AJ606" s="45"/>
      <c r="AK606" s="45"/>
      <c r="AL606" s="45"/>
      <c r="AM606" s="45"/>
      <c r="AN606" s="45"/>
      <c r="AO606" s="45"/>
      <c r="AP606" s="45"/>
    </row>
    <row r="607" ht="15.75" customHeight="1" spans="34:42" x14ac:dyDescent="0.25">
      <c r="AH607" s="45"/>
      <c r="AI607" s="45"/>
      <c r="AJ607" s="45"/>
      <c r="AK607" s="45"/>
      <c r="AL607" s="45"/>
      <c r="AM607" s="45"/>
      <c r="AN607" s="45"/>
      <c r="AO607" s="45"/>
      <c r="AP607" s="45"/>
    </row>
    <row r="608" ht="15.75" customHeight="1" spans="34:42" x14ac:dyDescent="0.25">
      <c r="AH608" s="45"/>
      <c r="AI608" s="45"/>
      <c r="AJ608" s="45"/>
      <c r="AK608" s="45"/>
      <c r="AL608" s="45"/>
      <c r="AM608" s="45"/>
      <c r="AN608" s="45"/>
      <c r="AO608" s="45"/>
      <c r="AP608" s="45"/>
    </row>
    <row r="609" ht="15.75" customHeight="1" spans="34:42" x14ac:dyDescent="0.25">
      <c r="AH609" s="45"/>
      <c r="AI609" s="45"/>
      <c r="AJ609" s="45"/>
      <c r="AK609" s="45"/>
      <c r="AL609" s="45"/>
      <c r="AM609" s="45"/>
      <c r="AN609" s="45"/>
      <c r="AO609" s="45"/>
      <c r="AP609" s="45"/>
    </row>
    <row r="610" ht="15.75" customHeight="1" spans="34:42" x14ac:dyDescent="0.25">
      <c r="AH610" s="45"/>
      <c r="AI610" s="45"/>
      <c r="AJ610" s="45"/>
      <c r="AK610" s="45"/>
      <c r="AL610" s="45"/>
      <c r="AM610" s="45"/>
      <c r="AN610" s="45"/>
      <c r="AO610" s="45"/>
      <c r="AP610" s="45"/>
    </row>
    <row r="611" ht="15.75" customHeight="1" spans="34:42" x14ac:dyDescent="0.25">
      <c r="AH611" s="45"/>
      <c r="AI611" s="45"/>
      <c r="AJ611" s="45"/>
      <c r="AK611" s="45"/>
      <c r="AL611" s="45"/>
      <c r="AM611" s="45"/>
      <c r="AN611" s="45"/>
      <c r="AO611" s="45"/>
      <c r="AP611" s="45"/>
    </row>
    <row r="612" ht="15.75" customHeight="1" spans="34:42" x14ac:dyDescent="0.25">
      <c r="AH612" s="45"/>
      <c r="AI612" s="45"/>
      <c r="AJ612" s="45"/>
      <c r="AK612" s="45"/>
      <c r="AL612" s="45"/>
      <c r="AM612" s="45"/>
      <c r="AN612" s="45"/>
      <c r="AO612" s="45"/>
      <c r="AP612" s="45"/>
    </row>
    <row r="613" ht="15.75" customHeight="1" spans="34:42" x14ac:dyDescent="0.25">
      <c r="AH613" s="45"/>
      <c r="AI613" s="45"/>
      <c r="AJ613" s="45"/>
      <c r="AK613" s="45"/>
      <c r="AL613" s="45"/>
      <c r="AM613" s="45"/>
      <c r="AN613" s="45"/>
      <c r="AO613" s="45"/>
      <c r="AP613" s="45"/>
    </row>
    <row r="614" ht="15.75" customHeight="1" spans="34:42" x14ac:dyDescent="0.25">
      <c r="AH614" s="45"/>
      <c r="AI614" s="45"/>
      <c r="AJ614" s="45"/>
      <c r="AK614" s="45"/>
      <c r="AL614" s="45"/>
      <c r="AM614" s="45"/>
      <c r="AN614" s="45"/>
      <c r="AO614" s="45"/>
      <c r="AP614" s="45"/>
    </row>
    <row r="615" ht="15.75" customHeight="1" spans="34:42" x14ac:dyDescent="0.25">
      <c r="AH615" s="45"/>
      <c r="AI615" s="45"/>
      <c r="AJ615" s="45"/>
      <c r="AK615" s="45"/>
      <c r="AL615" s="45"/>
      <c r="AM615" s="45"/>
      <c r="AN615" s="45"/>
      <c r="AO615" s="45"/>
      <c r="AP615" s="45"/>
    </row>
    <row r="616" ht="15.75" customHeight="1" spans="34:42" x14ac:dyDescent="0.25">
      <c r="AH616" s="45"/>
      <c r="AI616" s="45"/>
      <c r="AJ616" s="45"/>
      <c r="AK616" s="45"/>
      <c r="AL616" s="45"/>
      <c r="AM616" s="45"/>
      <c r="AN616" s="45"/>
      <c r="AO616" s="45"/>
      <c r="AP616" s="45"/>
    </row>
    <row r="617" ht="15.75" customHeight="1" spans="34:42" x14ac:dyDescent="0.25">
      <c r="AH617" s="45"/>
      <c r="AI617" s="45"/>
      <c r="AJ617" s="45"/>
      <c r="AK617" s="45"/>
      <c r="AL617" s="45"/>
      <c r="AM617" s="45"/>
      <c r="AN617" s="45"/>
      <c r="AO617" s="45"/>
      <c r="AP617" s="45"/>
    </row>
    <row r="618" ht="15.75" customHeight="1" spans="34:42" x14ac:dyDescent="0.25">
      <c r="AH618" s="45"/>
      <c r="AI618" s="45"/>
      <c r="AJ618" s="45"/>
      <c r="AK618" s="45"/>
      <c r="AL618" s="45"/>
      <c r="AM618" s="45"/>
      <c r="AN618" s="45"/>
      <c r="AO618" s="45"/>
      <c r="AP618" s="45"/>
    </row>
    <row r="619" ht="15.75" customHeight="1" spans="34:42" x14ac:dyDescent="0.25">
      <c r="AH619" s="45"/>
      <c r="AI619" s="45"/>
      <c r="AJ619" s="45"/>
      <c r="AK619" s="45"/>
      <c r="AL619" s="45"/>
      <c r="AM619" s="45"/>
      <c r="AN619" s="45"/>
      <c r="AO619" s="45"/>
      <c r="AP619" s="45"/>
    </row>
    <row r="620" ht="15.75" customHeight="1" spans="34:42" x14ac:dyDescent="0.25">
      <c r="AH620" s="45"/>
      <c r="AI620" s="45"/>
      <c r="AJ620" s="45"/>
      <c r="AK620" s="45"/>
      <c r="AL620" s="45"/>
      <c r="AM620" s="45"/>
      <c r="AN620" s="45"/>
      <c r="AO620" s="45"/>
      <c r="AP620" s="45"/>
    </row>
    <row r="621" ht="15.75" customHeight="1" spans="34:42" x14ac:dyDescent="0.25">
      <c r="AH621" s="45"/>
      <c r="AI621" s="45"/>
      <c r="AJ621" s="45"/>
      <c r="AK621" s="45"/>
      <c r="AL621" s="45"/>
      <c r="AM621" s="45"/>
      <c r="AN621" s="45"/>
      <c r="AO621" s="45"/>
      <c r="AP621" s="45"/>
    </row>
    <row r="622" ht="15.75" customHeight="1" spans="34:42" x14ac:dyDescent="0.25">
      <c r="AH622" s="45"/>
      <c r="AI622" s="45"/>
      <c r="AJ622" s="45"/>
      <c r="AK622" s="45"/>
      <c r="AL622" s="45"/>
      <c r="AM622" s="45"/>
      <c r="AN622" s="45"/>
      <c r="AO622" s="45"/>
      <c r="AP622" s="45"/>
    </row>
    <row r="623" ht="15.75" customHeight="1" spans="34:42" x14ac:dyDescent="0.25">
      <c r="AH623" s="45"/>
      <c r="AI623" s="45"/>
      <c r="AJ623" s="45"/>
      <c r="AK623" s="45"/>
      <c r="AL623" s="45"/>
      <c r="AM623" s="45"/>
      <c r="AN623" s="45"/>
      <c r="AO623" s="45"/>
      <c r="AP623" s="45"/>
    </row>
    <row r="624" ht="15.75" customHeight="1" spans="34:42" x14ac:dyDescent="0.25">
      <c r="AH624" s="45"/>
      <c r="AI624" s="45"/>
      <c r="AJ624" s="45"/>
      <c r="AK624" s="45"/>
      <c r="AL624" s="45"/>
      <c r="AM624" s="45"/>
      <c r="AN624" s="45"/>
      <c r="AO624" s="45"/>
      <c r="AP624" s="45"/>
    </row>
    <row r="625" ht="15.75" customHeight="1" spans="34:42" x14ac:dyDescent="0.25">
      <c r="AH625" s="45"/>
      <c r="AI625" s="45"/>
      <c r="AJ625" s="45"/>
      <c r="AK625" s="45"/>
      <c r="AL625" s="45"/>
      <c r="AM625" s="45"/>
      <c r="AN625" s="45"/>
      <c r="AO625" s="45"/>
      <c r="AP625" s="45"/>
    </row>
    <row r="626" ht="15.75" customHeight="1" spans="34:42" x14ac:dyDescent="0.25">
      <c r="AH626" s="45"/>
      <c r="AI626" s="45"/>
      <c r="AJ626" s="45"/>
      <c r="AK626" s="45"/>
      <c r="AL626" s="45"/>
      <c r="AM626" s="45"/>
      <c r="AN626" s="45"/>
      <c r="AO626" s="45"/>
      <c r="AP626" s="45"/>
    </row>
    <row r="627" ht="15.75" customHeight="1" spans="34:42" x14ac:dyDescent="0.25">
      <c r="AH627" s="45"/>
      <c r="AI627" s="45"/>
      <c r="AJ627" s="45"/>
      <c r="AK627" s="45"/>
      <c r="AL627" s="45"/>
      <c r="AM627" s="45"/>
      <c r="AN627" s="45"/>
      <c r="AO627" s="45"/>
      <c r="AP627" s="45"/>
    </row>
    <row r="628" ht="15.75" customHeight="1" spans="34:42" x14ac:dyDescent="0.25">
      <c r="AH628" s="45"/>
      <c r="AI628" s="45"/>
      <c r="AJ628" s="45"/>
      <c r="AK628" s="45"/>
      <c r="AL628" s="45"/>
      <c r="AM628" s="45"/>
      <c r="AN628" s="45"/>
      <c r="AO628" s="45"/>
      <c r="AP628" s="45"/>
    </row>
    <row r="629" ht="15.75" customHeight="1" spans="34:42" x14ac:dyDescent="0.25">
      <c r="AH629" s="45"/>
      <c r="AI629" s="45"/>
      <c r="AJ629" s="45"/>
      <c r="AK629" s="45"/>
      <c r="AL629" s="45"/>
      <c r="AM629" s="45"/>
      <c r="AN629" s="45"/>
      <c r="AO629" s="45"/>
      <c r="AP629" s="45"/>
    </row>
    <row r="630" ht="15.75" customHeight="1" spans="34:42" x14ac:dyDescent="0.25">
      <c r="AH630" s="45"/>
      <c r="AI630" s="45"/>
      <c r="AJ630" s="45"/>
      <c r="AK630" s="45"/>
      <c r="AL630" s="45"/>
      <c r="AM630" s="45"/>
      <c r="AN630" s="45"/>
      <c r="AO630" s="45"/>
      <c r="AP630" s="45"/>
    </row>
    <row r="631" ht="15.75" customHeight="1" spans="34:42" x14ac:dyDescent="0.25">
      <c r="AH631" s="45"/>
      <c r="AI631" s="45"/>
      <c r="AJ631" s="45"/>
      <c r="AK631" s="45"/>
      <c r="AL631" s="45"/>
      <c r="AM631" s="45"/>
      <c r="AN631" s="45"/>
      <c r="AO631" s="45"/>
      <c r="AP631" s="45"/>
    </row>
    <row r="632" ht="15.75" customHeight="1" spans="34:42" x14ac:dyDescent="0.25">
      <c r="AH632" s="45"/>
      <c r="AI632" s="45"/>
      <c r="AJ632" s="45"/>
      <c r="AK632" s="45"/>
      <c r="AL632" s="45"/>
      <c r="AM632" s="45"/>
      <c r="AN632" s="45"/>
      <c r="AO632" s="45"/>
      <c r="AP632" s="45"/>
    </row>
    <row r="633" ht="15.75" customHeight="1" spans="34:42" x14ac:dyDescent="0.25">
      <c r="AH633" s="45"/>
      <c r="AI633" s="45"/>
      <c r="AJ633" s="45"/>
      <c r="AK633" s="45"/>
      <c r="AL633" s="45"/>
      <c r="AM633" s="45"/>
      <c r="AN633" s="45"/>
      <c r="AO633" s="45"/>
      <c r="AP633" s="45"/>
    </row>
    <row r="634" ht="15.75" customHeight="1" spans="34:42" x14ac:dyDescent="0.25">
      <c r="AH634" s="45"/>
      <c r="AI634" s="45"/>
      <c r="AJ634" s="45"/>
      <c r="AK634" s="45"/>
      <c r="AL634" s="45"/>
      <c r="AM634" s="45"/>
      <c r="AN634" s="45"/>
      <c r="AO634" s="45"/>
      <c r="AP634" s="45"/>
    </row>
    <row r="635" ht="15.75" customHeight="1" spans="34:42" x14ac:dyDescent="0.25">
      <c r="AH635" s="45"/>
      <c r="AI635" s="45"/>
      <c r="AJ635" s="45"/>
      <c r="AK635" s="45"/>
      <c r="AL635" s="45"/>
      <c r="AM635" s="45"/>
      <c r="AN635" s="45"/>
      <c r="AO635" s="45"/>
      <c r="AP635" s="45"/>
    </row>
    <row r="636" ht="15.75" customHeight="1" spans="34:42" x14ac:dyDescent="0.25">
      <c r="AH636" s="45"/>
      <c r="AI636" s="45"/>
      <c r="AJ636" s="45"/>
      <c r="AK636" s="45"/>
      <c r="AL636" s="45"/>
      <c r="AM636" s="45"/>
      <c r="AN636" s="45"/>
      <c r="AO636" s="45"/>
      <c r="AP636" s="45"/>
    </row>
    <row r="637" ht="15.75" customHeight="1" spans="34:42" x14ac:dyDescent="0.25">
      <c r="AH637" s="45"/>
      <c r="AI637" s="45"/>
      <c r="AJ637" s="45"/>
      <c r="AK637" s="45"/>
      <c r="AL637" s="45"/>
      <c r="AM637" s="45"/>
      <c r="AN637" s="45"/>
      <c r="AO637" s="45"/>
      <c r="AP637" s="45"/>
    </row>
    <row r="638" ht="15.75" customHeight="1" spans="34:42" x14ac:dyDescent="0.25">
      <c r="AH638" s="45"/>
      <c r="AI638" s="45"/>
      <c r="AJ638" s="45"/>
      <c r="AK638" s="45"/>
      <c r="AL638" s="45"/>
      <c r="AM638" s="45"/>
      <c r="AN638" s="45"/>
      <c r="AO638" s="45"/>
      <c r="AP638" s="45"/>
    </row>
    <row r="639" ht="15.75" customHeight="1" spans="34:42" x14ac:dyDescent="0.25">
      <c r="AH639" s="45"/>
      <c r="AI639" s="45"/>
      <c r="AJ639" s="45"/>
      <c r="AK639" s="45"/>
      <c r="AL639" s="45"/>
      <c r="AM639" s="45"/>
      <c r="AN639" s="45"/>
      <c r="AO639" s="45"/>
      <c r="AP639" s="45"/>
    </row>
    <row r="640" ht="15.75" customHeight="1" spans="34:42" x14ac:dyDescent="0.25">
      <c r="AH640" s="45"/>
      <c r="AI640" s="45"/>
      <c r="AJ640" s="45"/>
      <c r="AK640" s="45"/>
      <c r="AL640" s="45"/>
      <c r="AM640" s="45"/>
      <c r="AN640" s="45"/>
      <c r="AO640" s="45"/>
      <c r="AP640" s="45"/>
    </row>
    <row r="641" ht="15.75" customHeight="1" spans="34:42" x14ac:dyDescent="0.25">
      <c r="AH641" s="45"/>
      <c r="AI641" s="45"/>
      <c r="AJ641" s="45"/>
      <c r="AK641" s="45"/>
      <c r="AL641" s="45"/>
      <c r="AM641" s="45"/>
      <c r="AN641" s="45"/>
      <c r="AO641" s="45"/>
      <c r="AP641" s="45"/>
    </row>
    <row r="642" ht="15.75" customHeight="1" spans="34:42" x14ac:dyDescent="0.25">
      <c r="AH642" s="45"/>
      <c r="AI642" s="45"/>
      <c r="AJ642" s="45"/>
      <c r="AK642" s="45"/>
      <c r="AL642" s="45"/>
      <c r="AM642" s="45"/>
      <c r="AN642" s="45"/>
      <c r="AO642" s="45"/>
      <c r="AP642" s="45"/>
    </row>
    <row r="643" ht="15.75" customHeight="1" spans="34:42" x14ac:dyDescent="0.25">
      <c r="AH643" s="45"/>
      <c r="AI643" s="45"/>
      <c r="AJ643" s="45"/>
      <c r="AK643" s="45"/>
      <c r="AL643" s="45"/>
      <c r="AM643" s="45"/>
      <c r="AN643" s="45"/>
      <c r="AO643" s="45"/>
      <c r="AP643" s="45"/>
    </row>
    <row r="644" ht="15.75" customHeight="1" spans="34:42" x14ac:dyDescent="0.25">
      <c r="AH644" s="45"/>
      <c r="AI644" s="45"/>
      <c r="AJ644" s="45"/>
      <c r="AK644" s="45"/>
      <c r="AL644" s="45"/>
      <c r="AM644" s="45"/>
      <c r="AN644" s="45"/>
      <c r="AO644" s="45"/>
      <c r="AP644" s="45"/>
    </row>
    <row r="645" ht="15.75" customHeight="1" spans="34:42" x14ac:dyDescent="0.25">
      <c r="AH645" s="45"/>
      <c r="AI645" s="45"/>
      <c r="AJ645" s="45"/>
      <c r="AK645" s="45"/>
      <c r="AL645" s="45"/>
      <c r="AM645" s="45"/>
      <c r="AN645" s="45"/>
      <c r="AO645" s="45"/>
      <c r="AP645" s="45"/>
    </row>
    <row r="646" ht="15.75" customHeight="1" spans="34:42" x14ac:dyDescent="0.25">
      <c r="AH646" s="45"/>
      <c r="AI646" s="45"/>
      <c r="AJ646" s="45"/>
      <c r="AK646" s="45"/>
      <c r="AL646" s="45"/>
      <c r="AM646" s="45"/>
      <c r="AN646" s="45"/>
      <c r="AO646" s="45"/>
      <c r="AP646" s="45"/>
    </row>
    <row r="647" ht="15.75" customHeight="1" spans="34:42" x14ac:dyDescent="0.25">
      <c r="AH647" s="45"/>
      <c r="AI647" s="45"/>
      <c r="AJ647" s="45"/>
      <c r="AK647" s="45"/>
      <c r="AL647" s="45"/>
      <c r="AM647" s="45"/>
      <c r="AN647" s="45"/>
      <c r="AO647" s="45"/>
      <c r="AP647" s="45"/>
    </row>
    <row r="648" ht="15.75" customHeight="1" spans="34:42" x14ac:dyDescent="0.25">
      <c r="AH648" s="45"/>
      <c r="AI648" s="45"/>
      <c r="AJ648" s="45"/>
      <c r="AK648" s="45"/>
      <c r="AL648" s="45"/>
      <c r="AM648" s="45"/>
      <c r="AN648" s="45"/>
      <c r="AO648" s="45"/>
      <c r="AP648" s="45"/>
    </row>
    <row r="649" ht="15.75" customHeight="1" spans="34:42" x14ac:dyDescent="0.25">
      <c r="AH649" s="45"/>
      <c r="AI649" s="45"/>
      <c r="AJ649" s="45"/>
      <c r="AK649" s="45"/>
      <c r="AL649" s="45"/>
      <c r="AM649" s="45"/>
      <c r="AN649" s="45"/>
      <c r="AO649" s="45"/>
      <c r="AP649" s="45"/>
    </row>
    <row r="650" ht="15.75" customHeight="1" spans="34:42" x14ac:dyDescent="0.25">
      <c r="AH650" s="45"/>
      <c r="AI650" s="45"/>
      <c r="AJ650" s="45"/>
      <c r="AK650" s="45"/>
      <c r="AL650" s="45"/>
      <c r="AM650" s="45"/>
      <c r="AN650" s="45"/>
      <c r="AO650" s="45"/>
      <c r="AP650" s="45"/>
    </row>
    <row r="651" ht="15.75" customHeight="1" spans="34:42" x14ac:dyDescent="0.25">
      <c r="AH651" s="45"/>
      <c r="AI651" s="45"/>
      <c r="AJ651" s="45"/>
      <c r="AK651" s="45"/>
      <c r="AL651" s="45"/>
      <c r="AM651" s="45"/>
      <c r="AN651" s="45"/>
      <c r="AO651" s="45"/>
      <c r="AP651" s="45"/>
    </row>
    <row r="652" ht="15.75" customHeight="1" spans="34:42" x14ac:dyDescent="0.25">
      <c r="AH652" s="45"/>
      <c r="AI652" s="45"/>
      <c r="AJ652" s="45"/>
      <c r="AK652" s="45"/>
      <c r="AL652" s="45"/>
      <c r="AM652" s="45"/>
      <c r="AN652" s="45"/>
      <c r="AO652" s="45"/>
      <c r="AP652" s="45"/>
    </row>
    <row r="653" ht="15.75" customHeight="1" spans="34:42" x14ac:dyDescent="0.25">
      <c r="AH653" s="45"/>
      <c r="AI653" s="45"/>
      <c r="AJ653" s="45"/>
      <c r="AK653" s="45"/>
      <c r="AL653" s="45"/>
      <c r="AM653" s="45"/>
      <c r="AN653" s="45"/>
      <c r="AO653" s="45"/>
      <c r="AP653" s="45"/>
    </row>
    <row r="654" ht="15.75" customHeight="1" spans="34:42" x14ac:dyDescent="0.25">
      <c r="AH654" s="45"/>
      <c r="AI654" s="45"/>
      <c r="AJ654" s="45"/>
      <c r="AK654" s="45"/>
      <c r="AL654" s="45"/>
      <c r="AM654" s="45"/>
      <c r="AN654" s="45"/>
      <c r="AO654" s="45"/>
      <c r="AP654" s="45"/>
    </row>
    <row r="655" ht="15.75" customHeight="1" spans="34:42" x14ac:dyDescent="0.25">
      <c r="AH655" s="45"/>
      <c r="AI655" s="45"/>
      <c r="AJ655" s="45"/>
      <c r="AK655" s="45"/>
      <c r="AL655" s="45"/>
      <c r="AM655" s="45"/>
      <c r="AN655" s="45"/>
      <c r="AO655" s="45"/>
      <c r="AP655" s="45"/>
    </row>
    <row r="656" ht="15.75" customHeight="1" spans="34:42" x14ac:dyDescent="0.25">
      <c r="AH656" s="45"/>
      <c r="AI656" s="45"/>
      <c r="AJ656" s="45"/>
      <c r="AK656" s="45"/>
      <c r="AL656" s="45"/>
      <c r="AM656" s="45"/>
      <c r="AN656" s="45"/>
      <c r="AO656" s="45"/>
      <c r="AP656" s="45"/>
    </row>
    <row r="657" ht="15.75" customHeight="1" spans="34:42" x14ac:dyDescent="0.25">
      <c r="AH657" s="45"/>
      <c r="AI657" s="45"/>
      <c r="AJ657" s="45"/>
      <c r="AK657" s="45"/>
      <c r="AL657" s="45"/>
      <c r="AM657" s="45"/>
      <c r="AN657" s="45"/>
      <c r="AO657" s="45"/>
      <c r="AP657" s="45"/>
    </row>
    <row r="658" ht="15.75" customHeight="1" spans="34:42" x14ac:dyDescent="0.25">
      <c r="AH658" s="45"/>
      <c r="AI658" s="45"/>
      <c r="AJ658" s="45"/>
      <c r="AK658" s="45"/>
      <c r="AL658" s="45"/>
      <c r="AM658" s="45"/>
      <c r="AN658" s="45"/>
      <c r="AO658" s="45"/>
      <c r="AP658" s="45"/>
    </row>
    <row r="659" ht="15.75" customHeight="1" spans="34:42" x14ac:dyDescent="0.25">
      <c r="AH659" s="45"/>
      <c r="AI659" s="45"/>
      <c r="AJ659" s="45"/>
      <c r="AK659" s="45"/>
      <c r="AL659" s="45"/>
      <c r="AM659" s="45"/>
      <c r="AN659" s="45"/>
      <c r="AO659" s="45"/>
      <c r="AP659" s="45"/>
    </row>
    <row r="660" ht="15.75" customHeight="1" spans="34:42" x14ac:dyDescent="0.25">
      <c r="AH660" s="45"/>
      <c r="AI660" s="45"/>
      <c r="AJ660" s="45"/>
      <c r="AK660" s="45"/>
      <c r="AL660" s="45"/>
      <c r="AM660" s="45"/>
      <c r="AN660" s="45"/>
      <c r="AO660" s="45"/>
      <c r="AP660" s="45"/>
    </row>
    <row r="661" ht="15.75" customHeight="1" spans="34:42" x14ac:dyDescent="0.25">
      <c r="AH661" s="45"/>
      <c r="AI661" s="45"/>
      <c r="AJ661" s="45"/>
      <c r="AK661" s="45"/>
      <c r="AL661" s="45"/>
      <c r="AM661" s="45"/>
      <c r="AN661" s="45"/>
      <c r="AO661" s="45"/>
      <c r="AP661" s="45"/>
    </row>
    <row r="662" ht="15.75" customHeight="1" spans="34:42" x14ac:dyDescent="0.25">
      <c r="AH662" s="45"/>
      <c r="AI662" s="45"/>
      <c r="AJ662" s="45"/>
      <c r="AK662" s="45"/>
      <c r="AL662" s="45"/>
      <c r="AM662" s="45"/>
      <c r="AN662" s="45"/>
      <c r="AO662" s="45"/>
      <c r="AP662" s="45"/>
    </row>
    <row r="663" ht="15.75" customHeight="1" spans="34:42" x14ac:dyDescent="0.25">
      <c r="AH663" s="45"/>
      <c r="AI663" s="45"/>
      <c r="AJ663" s="45"/>
      <c r="AK663" s="45"/>
      <c r="AL663" s="45"/>
      <c r="AM663" s="45"/>
      <c r="AN663" s="45"/>
      <c r="AO663" s="45"/>
      <c r="AP663" s="45"/>
    </row>
    <row r="664" ht="15.75" customHeight="1" spans="34:42" x14ac:dyDescent="0.25">
      <c r="AH664" s="45"/>
      <c r="AI664" s="45"/>
      <c r="AJ664" s="45"/>
      <c r="AK664" s="45"/>
      <c r="AL664" s="45"/>
      <c r="AM664" s="45"/>
      <c r="AN664" s="45"/>
      <c r="AO664" s="45"/>
      <c r="AP664" s="45"/>
    </row>
    <row r="665" ht="15.75" customHeight="1" spans="34:42" x14ac:dyDescent="0.25">
      <c r="AH665" s="45"/>
      <c r="AI665" s="45"/>
      <c r="AJ665" s="45"/>
      <c r="AK665" s="45"/>
      <c r="AL665" s="45"/>
      <c r="AM665" s="45"/>
      <c r="AN665" s="45"/>
      <c r="AO665" s="45"/>
      <c r="AP665" s="45"/>
    </row>
    <row r="666" ht="15.75" customHeight="1" spans="34:42" x14ac:dyDescent="0.25">
      <c r="AH666" s="45"/>
      <c r="AI666" s="45"/>
      <c r="AJ666" s="45"/>
      <c r="AK666" s="45"/>
      <c r="AL666" s="45"/>
      <c r="AM666" s="45"/>
      <c r="AN666" s="45"/>
      <c r="AO666" s="45"/>
      <c r="AP666" s="45"/>
    </row>
    <row r="667" ht="15.75" customHeight="1" spans="34:42" x14ac:dyDescent="0.25">
      <c r="AH667" s="45"/>
      <c r="AI667" s="45"/>
      <c r="AJ667" s="45"/>
      <c r="AK667" s="45"/>
      <c r="AL667" s="45"/>
      <c r="AM667" s="45"/>
      <c r="AN667" s="45"/>
      <c r="AO667" s="45"/>
      <c r="AP667" s="45"/>
    </row>
    <row r="668" ht="15.75" customHeight="1" spans="34:42" x14ac:dyDescent="0.25">
      <c r="AH668" s="45"/>
      <c r="AI668" s="45"/>
      <c r="AJ668" s="45"/>
      <c r="AK668" s="45"/>
      <c r="AL668" s="45"/>
      <c r="AM668" s="45"/>
      <c r="AN668" s="45"/>
      <c r="AO668" s="45"/>
      <c r="AP668" s="45"/>
    </row>
    <row r="669" ht="15.75" customHeight="1" spans="34:42" x14ac:dyDescent="0.25">
      <c r="AH669" s="45"/>
      <c r="AI669" s="45"/>
      <c r="AJ669" s="45"/>
      <c r="AK669" s="45"/>
      <c r="AL669" s="45"/>
      <c r="AM669" s="45"/>
      <c r="AN669" s="45"/>
      <c r="AO669" s="45"/>
      <c r="AP669" s="45"/>
    </row>
    <row r="670" ht="15.75" customHeight="1" spans="34:42" x14ac:dyDescent="0.25">
      <c r="AH670" s="45"/>
      <c r="AI670" s="45"/>
      <c r="AJ670" s="45"/>
      <c r="AK670" s="45"/>
      <c r="AL670" s="45"/>
      <c r="AM670" s="45"/>
      <c r="AN670" s="45"/>
      <c r="AO670" s="45"/>
      <c r="AP670" s="45"/>
    </row>
    <row r="671" ht="15.75" customHeight="1" spans="34:42" x14ac:dyDescent="0.25">
      <c r="AH671" s="45"/>
      <c r="AI671" s="45"/>
      <c r="AJ671" s="45"/>
      <c r="AK671" s="45"/>
      <c r="AL671" s="45"/>
      <c r="AM671" s="45"/>
      <c r="AN671" s="45"/>
      <c r="AO671" s="45"/>
      <c r="AP671" s="45"/>
    </row>
    <row r="672" ht="15.75" customHeight="1" spans="34:42" x14ac:dyDescent="0.25">
      <c r="AH672" s="45"/>
      <c r="AI672" s="45"/>
      <c r="AJ672" s="45"/>
      <c r="AK672" s="45"/>
      <c r="AL672" s="45"/>
      <c r="AM672" s="45"/>
      <c r="AN672" s="45"/>
      <c r="AO672" s="45"/>
      <c r="AP672" s="45"/>
    </row>
    <row r="673" ht="15.75" customHeight="1" spans="34:42" x14ac:dyDescent="0.25">
      <c r="AH673" s="45"/>
      <c r="AI673" s="45"/>
      <c r="AJ673" s="45"/>
      <c r="AK673" s="45"/>
      <c r="AL673" s="45"/>
      <c r="AM673" s="45"/>
      <c r="AN673" s="45"/>
      <c r="AO673" s="45"/>
      <c r="AP673" s="45"/>
    </row>
    <row r="674" ht="15.75" customHeight="1" spans="34:42" x14ac:dyDescent="0.25">
      <c r="AH674" s="45"/>
      <c r="AI674" s="45"/>
      <c r="AJ674" s="45"/>
      <c r="AK674" s="45"/>
      <c r="AL674" s="45"/>
      <c r="AM674" s="45"/>
      <c r="AN674" s="45"/>
      <c r="AO674" s="45"/>
      <c r="AP674" s="45"/>
    </row>
    <row r="675" ht="15.75" customHeight="1" spans="34:42" x14ac:dyDescent="0.25">
      <c r="AH675" s="45"/>
      <c r="AI675" s="45"/>
      <c r="AJ675" s="45"/>
      <c r="AK675" s="45"/>
      <c r="AL675" s="45"/>
      <c r="AM675" s="45"/>
      <c r="AN675" s="45"/>
      <c r="AO675" s="45"/>
      <c r="AP675" s="45"/>
    </row>
    <row r="676" ht="15.75" customHeight="1" spans="34:42" x14ac:dyDescent="0.25">
      <c r="AH676" s="45"/>
      <c r="AI676" s="45"/>
      <c r="AJ676" s="45"/>
      <c r="AK676" s="45"/>
      <c r="AL676" s="45"/>
      <c r="AM676" s="45"/>
      <c r="AN676" s="45"/>
      <c r="AO676" s="45"/>
      <c r="AP676" s="45"/>
    </row>
    <row r="677" ht="15.75" customHeight="1" spans="34:42" x14ac:dyDescent="0.25">
      <c r="AH677" s="45"/>
      <c r="AI677" s="45"/>
      <c r="AJ677" s="45"/>
      <c r="AK677" s="45"/>
      <c r="AL677" s="45"/>
      <c r="AM677" s="45"/>
      <c r="AN677" s="45"/>
      <c r="AO677" s="45"/>
      <c r="AP677" s="45"/>
    </row>
    <row r="678" ht="15.75" customHeight="1" spans="34:42" x14ac:dyDescent="0.25">
      <c r="AH678" s="45"/>
      <c r="AI678" s="45"/>
      <c r="AJ678" s="45"/>
      <c r="AK678" s="45"/>
      <c r="AL678" s="45"/>
      <c r="AM678" s="45"/>
      <c r="AN678" s="45"/>
      <c r="AO678" s="45"/>
      <c r="AP678" s="45"/>
    </row>
    <row r="679" ht="15.75" customHeight="1" spans="34:42" x14ac:dyDescent="0.25">
      <c r="AH679" s="45"/>
      <c r="AI679" s="45"/>
      <c r="AJ679" s="45"/>
      <c r="AK679" s="45"/>
      <c r="AL679" s="45"/>
      <c r="AM679" s="45"/>
      <c r="AN679" s="45"/>
      <c r="AO679" s="45"/>
      <c r="AP679" s="45"/>
    </row>
    <row r="680" ht="15.75" customHeight="1" spans="34:42" x14ac:dyDescent="0.25">
      <c r="AH680" s="45"/>
      <c r="AI680" s="45"/>
      <c r="AJ680" s="45"/>
      <c r="AK680" s="45"/>
      <c r="AL680" s="45"/>
      <c r="AM680" s="45"/>
      <c r="AN680" s="45"/>
      <c r="AO680" s="45"/>
      <c r="AP680" s="45"/>
    </row>
    <row r="681" ht="15.75" customHeight="1" spans="34:42" x14ac:dyDescent="0.25">
      <c r="AH681" s="45"/>
      <c r="AI681" s="45"/>
      <c r="AJ681" s="45"/>
      <c r="AK681" s="45"/>
      <c r="AL681" s="45"/>
      <c r="AM681" s="45"/>
      <c r="AN681" s="45"/>
      <c r="AO681" s="45"/>
      <c r="AP681" s="45"/>
    </row>
    <row r="682" ht="15.75" customHeight="1" spans="34:42" x14ac:dyDescent="0.25">
      <c r="AH682" s="45"/>
      <c r="AI682" s="45"/>
      <c r="AJ682" s="45"/>
      <c r="AK682" s="45"/>
      <c r="AL682" s="45"/>
      <c r="AM682" s="45"/>
      <c r="AN682" s="45"/>
      <c r="AO682" s="45"/>
      <c r="AP682" s="45"/>
    </row>
    <row r="683" ht="15.75" customHeight="1" spans="34:42" x14ac:dyDescent="0.25">
      <c r="AH683" s="45"/>
      <c r="AI683" s="45"/>
      <c r="AJ683" s="45"/>
      <c r="AK683" s="45"/>
      <c r="AL683" s="45"/>
      <c r="AM683" s="45"/>
      <c r="AN683" s="45"/>
      <c r="AO683" s="45"/>
      <c r="AP683" s="45"/>
    </row>
    <row r="684" ht="15.75" customHeight="1" spans="34:42" x14ac:dyDescent="0.25">
      <c r="AH684" s="45"/>
      <c r="AI684" s="45"/>
      <c r="AJ684" s="45"/>
      <c r="AK684" s="45"/>
      <c r="AL684" s="45"/>
      <c r="AM684" s="45"/>
      <c r="AN684" s="45"/>
      <c r="AO684" s="45"/>
      <c r="AP684" s="45"/>
    </row>
    <row r="685" ht="15.75" customHeight="1" spans="34:42" x14ac:dyDescent="0.25">
      <c r="AH685" s="45"/>
      <c r="AI685" s="45"/>
      <c r="AJ685" s="45"/>
      <c r="AK685" s="45"/>
      <c r="AL685" s="45"/>
      <c r="AM685" s="45"/>
      <c r="AN685" s="45"/>
      <c r="AO685" s="45"/>
      <c r="AP685" s="45"/>
    </row>
    <row r="686" ht="15.75" customHeight="1" spans="34:42" x14ac:dyDescent="0.25">
      <c r="AH686" s="45"/>
      <c r="AI686" s="45"/>
      <c r="AJ686" s="45"/>
      <c r="AK686" s="45"/>
      <c r="AL686" s="45"/>
      <c r="AM686" s="45"/>
      <c r="AN686" s="45"/>
      <c r="AO686" s="45"/>
      <c r="AP686" s="45"/>
    </row>
    <row r="687" ht="15.75" customHeight="1" spans="34:42" x14ac:dyDescent="0.25">
      <c r="AH687" s="45"/>
      <c r="AI687" s="45"/>
      <c r="AJ687" s="45"/>
      <c r="AK687" s="45"/>
      <c r="AL687" s="45"/>
      <c r="AM687" s="45"/>
      <c r="AN687" s="45"/>
      <c r="AO687" s="45"/>
      <c r="AP687" s="45"/>
    </row>
    <row r="688" ht="15.75" customHeight="1" spans="34:42" x14ac:dyDescent="0.25">
      <c r="AH688" s="45"/>
      <c r="AI688" s="45"/>
      <c r="AJ688" s="45"/>
      <c r="AK688" s="45"/>
      <c r="AL688" s="45"/>
      <c r="AM688" s="45"/>
      <c r="AN688" s="45"/>
      <c r="AO688" s="45"/>
      <c r="AP688" s="45"/>
    </row>
    <row r="689" ht="15.75" customHeight="1" spans="34:42" x14ac:dyDescent="0.25">
      <c r="AH689" s="45"/>
      <c r="AI689" s="45"/>
      <c r="AJ689" s="45"/>
      <c r="AK689" s="45"/>
      <c r="AL689" s="45"/>
      <c r="AM689" s="45"/>
      <c r="AN689" s="45"/>
      <c r="AO689" s="45"/>
      <c r="AP689" s="45"/>
    </row>
    <row r="690" ht="15.75" customHeight="1" spans="34:42" x14ac:dyDescent="0.25">
      <c r="AH690" s="45"/>
      <c r="AI690" s="45"/>
      <c r="AJ690" s="45"/>
      <c r="AK690" s="45"/>
      <c r="AL690" s="45"/>
      <c r="AM690" s="45"/>
      <c r="AN690" s="45"/>
      <c r="AO690" s="45"/>
      <c r="AP690" s="45"/>
    </row>
    <row r="691" ht="15.75" customHeight="1" spans="34:42" x14ac:dyDescent="0.25">
      <c r="AH691" s="45"/>
      <c r="AI691" s="45"/>
      <c r="AJ691" s="45"/>
      <c r="AK691" s="45"/>
      <c r="AL691" s="45"/>
      <c r="AM691" s="45"/>
      <c r="AN691" s="45"/>
      <c r="AO691" s="45"/>
      <c r="AP691" s="45"/>
    </row>
    <row r="692" ht="15.75" customHeight="1" spans="34:42" x14ac:dyDescent="0.25">
      <c r="AH692" s="45"/>
      <c r="AI692" s="45"/>
      <c r="AJ692" s="45"/>
      <c r="AK692" s="45"/>
      <c r="AL692" s="45"/>
      <c r="AM692" s="45"/>
      <c r="AN692" s="45"/>
      <c r="AO692" s="45"/>
      <c r="AP692" s="45"/>
    </row>
    <row r="693" ht="15.75" customHeight="1" spans="34:42" x14ac:dyDescent="0.25">
      <c r="AH693" s="45"/>
      <c r="AI693" s="45"/>
      <c r="AJ693" s="45"/>
      <c r="AK693" s="45"/>
      <c r="AL693" s="45"/>
      <c r="AM693" s="45"/>
      <c r="AN693" s="45"/>
      <c r="AO693" s="45"/>
      <c r="AP693" s="45"/>
    </row>
    <row r="694" ht="15.75" customHeight="1" spans="34:42" x14ac:dyDescent="0.25">
      <c r="AH694" s="45"/>
      <c r="AI694" s="45"/>
      <c r="AJ694" s="45"/>
      <c r="AK694" s="45"/>
      <c r="AL694" s="45"/>
      <c r="AM694" s="45"/>
      <c r="AN694" s="45"/>
      <c r="AO694" s="45"/>
      <c r="AP694" s="45"/>
    </row>
    <row r="695" ht="15.75" customHeight="1" spans="34:42" x14ac:dyDescent="0.25">
      <c r="AH695" s="45"/>
      <c r="AI695" s="45"/>
      <c r="AJ695" s="45"/>
      <c r="AK695" s="45"/>
      <c r="AL695" s="45"/>
      <c r="AM695" s="45"/>
      <c r="AN695" s="45"/>
      <c r="AO695" s="45"/>
      <c r="AP695" s="45"/>
    </row>
    <row r="696" ht="15.75" customHeight="1" spans="34:42" x14ac:dyDescent="0.25">
      <c r="AH696" s="45"/>
      <c r="AI696" s="45"/>
      <c r="AJ696" s="45"/>
      <c r="AK696" s="45"/>
      <c r="AL696" s="45"/>
      <c r="AM696" s="45"/>
      <c r="AN696" s="45"/>
      <c r="AO696" s="45"/>
      <c r="AP696" s="45"/>
    </row>
    <row r="697" ht="15.75" customHeight="1" spans="34:42" x14ac:dyDescent="0.25">
      <c r="AH697" s="45"/>
      <c r="AI697" s="45"/>
      <c r="AJ697" s="45"/>
      <c r="AK697" s="45"/>
      <c r="AL697" s="45"/>
      <c r="AM697" s="45"/>
      <c r="AN697" s="45"/>
      <c r="AO697" s="45"/>
      <c r="AP697" s="45"/>
    </row>
    <row r="698" ht="15.75" customHeight="1" spans="34:42" x14ac:dyDescent="0.25">
      <c r="AH698" s="45"/>
      <c r="AI698" s="45"/>
      <c r="AJ698" s="45"/>
      <c r="AK698" s="45"/>
      <c r="AL698" s="45"/>
      <c r="AM698" s="45"/>
      <c r="AN698" s="45"/>
      <c r="AO698" s="45"/>
      <c r="AP698" s="45"/>
    </row>
    <row r="699" ht="15.75" customHeight="1" spans="34:42" x14ac:dyDescent="0.25">
      <c r="AH699" s="45"/>
      <c r="AI699" s="45"/>
      <c r="AJ699" s="45"/>
      <c r="AK699" s="45"/>
      <c r="AL699" s="45"/>
      <c r="AM699" s="45"/>
      <c r="AN699" s="45"/>
      <c r="AO699" s="45"/>
      <c r="AP699" s="45"/>
    </row>
    <row r="700" ht="15.75" customHeight="1" spans="34:42" x14ac:dyDescent="0.25">
      <c r="AH700" s="45"/>
      <c r="AI700" s="45"/>
      <c r="AJ700" s="45"/>
      <c r="AK700" s="45"/>
      <c r="AL700" s="45"/>
      <c r="AM700" s="45"/>
      <c r="AN700" s="45"/>
      <c r="AO700" s="45"/>
      <c r="AP700" s="45"/>
    </row>
    <row r="701" ht="15.75" customHeight="1" spans="34:42" x14ac:dyDescent="0.25">
      <c r="AH701" s="45"/>
      <c r="AI701" s="45"/>
      <c r="AJ701" s="45"/>
      <c r="AK701" s="45"/>
      <c r="AL701" s="45"/>
      <c r="AM701" s="45"/>
      <c r="AN701" s="45"/>
      <c r="AO701" s="45"/>
      <c r="AP701" s="45"/>
    </row>
    <row r="702" ht="15.75" customHeight="1" spans="34:42" x14ac:dyDescent="0.25">
      <c r="AH702" s="45"/>
      <c r="AI702" s="45"/>
      <c r="AJ702" s="45"/>
      <c r="AK702" s="45"/>
      <c r="AL702" s="45"/>
      <c r="AM702" s="45"/>
      <c r="AN702" s="45"/>
      <c r="AO702" s="45"/>
      <c r="AP702" s="45"/>
    </row>
    <row r="703" ht="15.75" customHeight="1" spans="34:42" x14ac:dyDescent="0.25">
      <c r="AH703" s="45"/>
      <c r="AI703" s="45"/>
      <c r="AJ703" s="45"/>
      <c r="AK703" s="45"/>
      <c r="AL703" s="45"/>
      <c r="AM703" s="45"/>
      <c r="AN703" s="45"/>
      <c r="AO703" s="45"/>
      <c r="AP703" s="45"/>
    </row>
    <row r="704" ht="15.75" customHeight="1" spans="34:42" x14ac:dyDescent="0.25">
      <c r="AH704" s="45"/>
      <c r="AI704" s="45"/>
      <c r="AJ704" s="45"/>
      <c r="AK704" s="45"/>
      <c r="AL704" s="45"/>
      <c r="AM704" s="45"/>
      <c r="AN704" s="45"/>
      <c r="AO704" s="45"/>
      <c r="AP704" s="45"/>
    </row>
    <row r="705" ht="15.75" customHeight="1" spans="34:42" x14ac:dyDescent="0.25">
      <c r="AH705" s="45"/>
      <c r="AI705" s="45"/>
      <c r="AJ705" s="45"/>
      <c r="AK705" s="45"/>
      <c r="AL705" s="45"/>
      <c r="AM705" s="45"/>
      <c r="AN705" s="45"/>
      <c r="AO705" s="45"/>
      <c r="AP705" s="45"/>
    </row>
    <row r="706" ht="15.75" customHeight="1" spans="34:42" x14ac:dyDescent="0.25">
      <c r="AH706" s="45"/>
      <c r="AI706" s="45"/>
      <c r="AJ706" s="45"/>
      <c r="AK706" s="45"/>
      <c r="AL706" s="45"/>
      <c r="AM706" s="45"/>
      <c r="AN706" s="45"/>
      <c r="AO706" s="45"/>
      <c r="AP706" s="45"/>
    </row>
    <row r="707" ht="15.75" customHeight="1" spans="34:42" x14ac:dyDescent="0.25">
      <c r="AH707" s="45"/>
      <c r="AI707" s="45"/>
      <c r="AJ707" s="45"/>
      <c r="AK707" s="45"/>
      <c r="AL707" s="45"/>
      <c r="AM707" s="45"/>
      <c r="AN707" s="45"/>
      <c r="AO707" s="45"/>
      <c r="AP707" s="45"/>
    </row>
    <row r="708" ht="15.75" customHeight="1" spans="34:42" x14ac:dyDescent="0.25">
      <c r="AH708" s="45"/>
      <c r="AI708" s="45"/>
      <c r="AJ708" s="45"/>
      <c r="AK708" s="45"/>
      <c r="AL708" s="45"/>
      <c r="AM708" s="45"/>
      <c r="AN708" s="45"/>
      <c r="AO708" s="45"/>
      <c r="AP708" s="45"/>
    </row>
    <row r="709" ht="15.75" customHeight="1" spans="34:42" x14ac:dyDescent="0.25">
      <c r="AH709" s="45"/>
      <c r="AI709" s="45"/>
      <c r="AJ709" s="45"/>
      <c r="AK709" s="45"/>
      <c r="AL709" s="45"/>
      <c r="AM709" s="45"/>
      <c r="AN709" s="45"/>
      <c r="AO709" s="45"/>
      <c r="AP709" s="45"/>
    </row>
    <row r="710" ht="15.75" customHeight="1" spans="34:42" x14ac:dyDescent="0.25">
      <c r="AH710" s="45"/>
      <c r="AI710" s="45"/>
      <c r="AJ710" s="45"/>
      <c r="AK710" s="45"/>
      <c r="AL710" s="45"/>
      <c r="AM710" s="45"/>
      <c r="AN710" s="45"/>
      <c r="AO710" s="45"/>
      <c r="AP710" s="45"/>
    </row>
    <row r="711" ht="15.75" customHeight="1" spans="34:42" x14ac:dyDescent="0.25">
      <c r="AH711" s="45"/>
      <c r="AI711" s="45"/>
      <c r="AJ711" s="45"/>
      <c r="AK711" s="45"/>
      <c r="AL711" s="45"/>
      <c r="AM711" s="45"/>
      <c r="AN711" s="45"/>
      <c r="AO711" s="45"/>
      <c r="AP711" s="45"/>
    </row>
    <row r="712" ht="15.75" customHeight="1" spans="34:42" x14ac:dyDescent="0.25">
      <c r="AH712" s="45"/>
      <c r="AI712" s="45"/>
      <c r="AJ712" s="45"/>
      <c r="AK712" s="45"/>
      <c r="AL712" s="45"/>
      <c r="AM712" s="45"/>
      <c r="AN712" s="45"/>
      <c r="AO712" s="45"/>
      <c r="AP712" s="45"/>
    </row>
    <row r="713" ht="15.75" customHeight="1" spans="34:42" x14ac:dyDescent="0.25">
      <c r="AH713" s="45"/>
      <c r="AI713" s="45"/>
      <c r="AJ713" s="45"/>
      <c r="AK713" s="45"/>
      <c r="AL713" s="45"/>
      <c r="AM713" s="45"/>
      <c r="AN713" s="45"/>
      <c r="AO713" s="45"/>
      <c r="AP713" s="45"/>
    </row>
    <row r="714" ht="15.75" customHeight="1" spans="34:42" x14ac:dyDescent="0.25">
      <c r="AH714" s="45"/>
      <c r="AI714" s="45"/>
      <c r="AJ714" s="45"/>
      <c r="AK714" s="45"/>
      <c r="AL714" s="45"/>
      <c r="AM714" s="45"/>
      <c r="AN714" s="45"/>
      <c r="AO714" s="45"/>
      <c r="AP714" s="45"/>
    </row>
    <row r="715" ht="15.75" customHeight="1" spans="34:42" x14ac:dyDescent="0.25">
      <c r="AH715" s="45"/>
      <c r="AI715" s="45"/>
      <c r="AJ715" s="45"/>
      <c r="AK715" s="45"/>
      <c r="AL715" s="45"/>
      <c r="AM715" s="45"/>
      <c r="AN715" s="45"/>
      <c r="AO715" s="45"/>
      <c r="AP715" s="45"/>
    </row>
    <row r="716" ht="15.75" customHeight="1" spans="34:42" x14ac:dyDescent="0.25">
      <c r="AH716" s="45"/>
      <c r="AI716" s="45"/>
      <c r="AJ716" s="45"/>
      <c r="AK716" s="45"/>
      <c r="AL716" s="45"/>
      <c r="AM716" s="45"/>
      <c r="AN716" s="45"/>
      <c r="AO716" s="45"/>
      <c r="AP716" s="45"/>
    </row>
    <row r="717" ht="15.75" customHeight="1" spans="34:42" x14ac:dyDescent="0.25">
      <c r="AH717" s="45"/>
      <c r="AI717" s="45"/>
      <c r="AJ717" s="45"/>
      <c r="AK717" s="45"/>
      <c r="AL717" s="45"/>
      <c r="AM717" s="45"/>
      <c r="AN717" s="45"/>
      <c r="AO717" s="45"/>
      <c r="AP717" s="45"/>
    </row>
    <row r="718" ht="15.75" customHeight="1" spans="34:42" x14ac:dyDescent="0.25">
      <c r="AH718" s="45"/>
      <c r="AI718" s="45"/>
      <c r="AJ718" s="45"/>
      <c r="AK718" s="45"/>
      <c r="AL718" s="45"/>
      <c r="AM718" s="45"/>
      <c r="AN718" s="45"/>
      <c r="AO718" s="45"/>
      <c r="AP718" s="45"/>
    </row>
    <row r="719" ht="15.75" customHeight="1" spans="34:42" x14ac:dyDescent="0.25">
      <c r="AH719" s="45"/>
      <c r="AI719" s="45"/>
      <c r="AJ719" s="45"/>
      <c r="AK719" s="45"/>
      <c r="AL719" s="45"/>
      <c r="AM719" s="45"/>
      <c r="AN719" s="45"/>
      <c r="AO719" s="45"/>
      <c r="AP719" s="45"/>
    </row>
    <row r="720" ht="15.75" customHeight="1" spans="34:42" x14ac:dyDescent="0.25">
      <c r="AH720" s="45"/>
      <c r="AI720" s="45"/>
      <c r="AJ720" s="45"/>
      <c r="AK720" s="45"/>
      <c r="AL720" s="45"/>
      <c r="AM720" s="45"/>
      <c r="AN720" s="45"/>
      <c r="AO720" s="45"/>
      <c r="AP720" s="45"/>
    </row>
    <row r="721" ht="15.75" customHeight="1" spans="34:42" x14ac:dyDescent="0.25">
      <c r="AH721" s="45"/>
      <c r="AI721" s="45"/>
      <c r="AJ721" s="45"/>
      <c r="AK721" s="45"/>
      <c r="AL721" s="45"/>
      <c r="AM721" s="45"/>
      <c r="AN721" s="45"/>
      <c r="AO721" s="45"/>
      <c r="AP721" s="45"/>
    </row>
    <row r="722" ht="15.75" customHeight="1" spans="34:42" x14ac:dyDescent="0.25">
      <c r="AH722" s="45"/>
      <c r="AI722" s="45"/>
      <c r="AJ722" s="45"/>
      <c r="AK722" s="45"/>
      <c r="AL722" s="45"/>
      <c r="AM722" s="45"/>
      <c r="AN722" s="45"/>
      <c r="AO722" s="45"/>
      <c r="AP722" s="45"/>
    </row>
    <row r="723" ht="15.75" customHeight="1" spans="34:42" x14ac:dyDescent="0.25">
      <c r="AH723" s="45"/>
      <c r="AI723" s="45"/>
      <c r="AJ723" s="45"/>
      <c r="AK723" s="45"/>
      <c r="AL723" s="45"/>
      <c r="AM723" s="45"/>
      <c r="AN723" s="45"/>
      <c r="AO723" s="45"/>
      <c r="AP723" s="45"/>
    </row>
    <row r="724" ht="15.75" customHeight="1" spans="34:42" x14ac:dyDescent="0.25">
      <c r="AH724" s="45"/>
      <c r="AI724" s="45"/>
      <c r="AJ724" s="45"/>
      <c r="AK724" s="45"/>
      <c r="AL724" s="45"/>
      <c r="AM724" s="45"/>
      <c r="AN724" s="45"/>
      <c r="AO724" s="45"/>
      <c r="AP724" s="45"/>
    </row>
    <row r="725" ht="15.75" customHeight="1" spans="34:42" x14ac:dyDescent="0.25">
      <c r="AH725" s="45"/>
      <c r="AI725" s="45"/>
      <c r="AJ725" s="45"/>
      <c r="AK725" s="45"/>
      <c r="AL725" s="45"/>
      <c r="AM725" s="45"/>
      <c r="AN725" s="45"/>
      <c r="AO725" s="45"/>
      <c r="AP725" s="45"/>
    </row>
    <row r="726" ht="15.75" customHeight="1" spans="34:42" x14ac:dyDescent="0.25">
      <c r="AH726" s="45"/>
      <c r="AI726" s="45"/>
      <c r="AJ726" s="45"/>
      <c r="AK726" s="45"/>
      <c r="AL726" s="45"/>
      <c r="AM726" s="45"/>
      <c r="AN726" s="45"/>
      <c r="AO726" s="45"/>
      <c r="AP726" s="45"/>
    </row>
    <row r="727" ht="15.75" customHeight="1" spans="34:42" x14ac:dyDescent="0.25">
      <c r="AH727" s="45"/>
      <c r="AI727" s="45"/>
      <c r="AJ727" s="45"/>
      <c r="AK727" s="45"/>
      <c r="AL727" s="45"/>
      <c r="AM727" s="45"/>
      <c r="AN727" s="45"/>
      <c r="AO727" s="45"/>
      <c r="AP727" s="45"/>
    </row>
    <row r="728" ht="15.75" customHeight="1" spans="34:42" x14ac:dyDescent="0.25">
      <c r="AH728" s="45"/>
      <c r="AI728" s="45"/>
      <c r="AJ728" s="45"/>
      <c r="AK728" s="45"/>
      <c r="AL728" s="45"/>
      <c r="AM728" s="45"/>
      <c r="AN728" s="45"/>
      <c r="AO728" s="45"/>
      <c r="AP728" s="45"/>
    </row>
    <row r="729" ht="15.75" customHeight="1" spans="34:42" x14ac:dyDescent="0.25">
      <c r="AH729" s="45"/>
      <c r="AI729" s="45"/>
      <c r="AJ729" s="45"/>
      <c r="AK729" s="45"/>
      <c r="AL729" s="45"/>
      <c r="AM729" s="45"/>
      <c r="AN729" s="45"/>
      <c r="AO729" s="45"/>
      <c r="AP729" s="45"/>
    </row>
    <row r="730" ht="15.75" customHeight="1" spans="34:42" x14ac:dyDescent="0.25">
      <c r="AH730" s="45"/>
      <c r="AI730" s="45"/>
      <c r="AJ730" s="45"/>
      <c r="AK730" s="45"/>
      <c r="AL730" s="45"/>
      <c r="AM730" s="45"/>
      <c r="AN730" s="45"/>
      <c r="AO730" s="45"/>
      <c r="AP730" s="45"/>
    </row>
    <row r="731" ht="15.75" customHeight="1" spans="34:42" x14ac:dyDescent="0.25">
      <c r="AH731" s="45"/>
      <c r="AI731" s="45"/>
      <c r="AJ731" s="45"/>
      <c r="AK731" s="45"/>
      <c r="AL731" s="45"/>
      <c r="AM731" s="45"/>
      <c r="AN731" s="45"/>
      <c r="AO731" s="45"/>
      <c r="AP731" s="45"/>
    </row>
    <row r="732" ht="15.75" customHeight="1" spans="34:42" x14ac:dyDescent="0.25">
      <c r="AH732" s="45"/>
      <c r="AI732" s="45"/>
      <c r="AJ732" s="45"/>
      <c r="AK732" s="45"/>
      <c r="AL732" s="45"/>
      <c r="AM732" s="45"/>
      <c r="AN732" s="45"/>
      <c r="AO732" s="45"/>
      <c r="AP732" s="45"/>
    </row>
    <row r="733" ht="15.75" customHeight="1" spans="34:42" x14ac:dyDescent="0.25">
      <c r="AH733" s="45"/>
      <c r="AI733" s="45"/>
      <c r="AJ733" s="45"/>
      <c r="AK733" s="45"/>
      <c r="AL733" s="45"/>
      <c r="AM733" s="45"/>
      <c r="AN733" s="45"/>
      <c r="AO733" s="45"/>
      <c r="AP733" s="45"/>
    </row>
    <row r="734" ht="15.75" customHeight="1" spans="34:42" x14ac:dyDescent="0.25">
      <c r="AH734" s="45"/>
      <c r="AI734" s="45"/>
      <c r="AJ734" s="45"/>
      <c r="AK734" s="45"/>
      <c r="AL734" s="45"/>
      <c r="AM734" s="45"/>
      <c r="AN734" s="45"/>
      <c r="AO734" s="45"/>
      <c r="AP734" s="45"/>
    </row>
    <row r="735" ht="15.75" customHeight="1" spans="34:42" x14ac:dyDescent="0.25">
      <c r="AH735" s="45"/>
      <c r="AI735" s="45"/>
      <c r="AJ735" s="45"/>
      <c r="AK735" s="45"/>
      <c r="AL735" s="45"/>
      <c r="AM735" s="45"/>
      <c r="AN735" s="45"/>
      <c r="AO735" s="45"/>
      <c r="AP735" s="45"/>
    </row>
    <row r="736" ht="15.75" customHeight="1" spans="34:42" x14ac:dyDescent="0.25">
      <c r="AH736" s="45"/>
      <c r="AI736" s="45"/>
      <c r="AJ736" s="45"/>
      <c r="AK736" s="45"/>
      <c r="AL736" s="45"/>
      <c r="AM736" s="45"/>
      <c r="AN736" s="45"/>
      <c r="AO736" s="45"/>
      <c r="AP736" s="45"/>
    </row>
    <row r="737" ht="15.75" customHeight="1" spans="34:42" x14ac:dyDescent="0.25">
      <c r="AH737" s="45"/>
      <c r="AI737" s="45"/>
      <c r="AJ737" s="45"/>
      <c r="AK737" s="45"/>
      <c r="AL737" s="45"/>
      <c r="AM737" s="45"/>
      <c r="AN737" s="45"/>
      <c r="AO737" s="45"/>
      <c r="AP737" s="45"/>
    </row>
    <row r="738" ht="15.75" customHeight="1" spans="34:42" x14ac:dyDescent="0.25">
      <c r="AH738" s="45"/>
      <c r="AI738" s="45"/>
      <c r="AJ738" s="45"/>
      <c r="AK738" s="45"/>
      <c r="AL738" s="45"/>
      <c r="AM738" s="45"/>
      <c r="AN738" s="45"/>
      <c r="AO738" s="45"/>
      <c r="AP738" s="45"/>
    </row>
    <row r="739" ht="15.75" customHeight="1" spans="34:42" x14ac:dyDescent="0.25">
      <c r="AH739" s="45"/>
      <c r="AI739" s="45"/>
      <c r="AJ739" s="45"/>
      <c r="AK739" s="45"/>
      <c r="AL739" s="45"/>
      <c r="AM739" s="45"/>
      <c r="AN739" s="45"/>
      <c r="AO739" s="45"/>
      <c r="AP739" s="45"/>
    </row>
    <row r="740" ht="15.75" customHeight="1" spans="34:42" x14ac:dyDescent="0.25">
      <c r="AH740" s="45"/>
      <c r="AI740" s="45"/>
      <c r="AJ740" s="45"/>
      <c r="AK740" s="45"/>
      <c r="AL740" s="45"/>
      <c r="AM740" s="45"/>
      <c r="AN740" s="45"/>
      <c r="AO740" s="45"/>
      <c r="AP740" s="45"/>
    </row>
    <row r="741" ht="15.75" customHeight="1" spans="34:42" x14ac:dyDescent="0.25">
      <c r="AH741" s="45"/>
      <c r="AI741" s="45"/>
      <c r="AJ741" s="45"/>
      <c r="AK741" s="45"/>
      <c r="AL741" s="45"/>
      <c r="AM741" s="45"/>
      <c r="AN741" s="45"/>
      <c r="AO741" s="45"/>
      <c r="AP741" s="45"/>
    </row>
    <row r="742" ht="15.75" customHeight="1" spans="34:42" x14ac:dyDescent="0.25">
      <c r="AH742" s="45"/>
      <c r="AI742" s="45"/>
      <c r="AJ742" s="45"/>
      <c r="AK742" s="45"/>
      <c r="AL742" s="45"/>
      <c r="AM742" s="45"/>
      <c r="AN742" s="45"/>
      <c r="AO742" s="45"/>
      <c r="AP742" s="45"/>
    </row>
    <row r="743" ht="15.75" customHeight="1" spans="34:42" x14ac:dyDescent="0.25">
      <c r="AH743" s="45"/>
      <c r="AI743" s="45"/>
      <c r="AJ743" s="45"/>
      <c r="AK743" s="45"/>
      <c r="AL743" s="45"/>
      <c r="AM743" s="45"/>
      <c r="AN743" s="45"/>
      <c r="AO743" s="45"/>
      <c r="AP743" s="45"/>
    </row>
    <row r="744" ht="15.75" customHeight="1" spans="34:42" x14ac:dyDescent="0.25">
      <c r="AH744" s="45"/>
      <c r="AI744" s="45"/>
      <c r="AJ744" s="45"/>
      <c r="AK744" s="45"/>
      <c r="AL744" s="45"/>
      <c r="AM744" s="45"/>
      <c r="AN744" s="45"/>
      <c r="AO744" s="45"/>
      <c r="AP744" s="45"/>
    </row>
    <row r="745" ht="15.75" customHeight="1" spans="34:42" x14ac:dyDescent="0.25">
      <c r="AH745" s="45"/>
      <c r="AI745" s="45"/>
      <c r="AJ745" s="45"/>
      <c r="AK745" s="45"/>
      <c r="AL745" s="45"/>
      <c r="AM745" s="45"/>
      <c r="AN745" s="45"/>
      <c r="AO745" s="45"/>
      <c r="AP745" s="45"/>
    </row>
    <row r="746" ht="15.75" customHeight="1" spans="34:42" x14ac:dyDescent="0.25">
      <c r="AH746" s="45"/>
      <c r="AI746" s="45"/>
      <c r="AJ746" s="45"/>
      <c r="AK746" s="45"/>
      <c r="AL746" s="45"/>
      <c r="AM746" s="45"/>
      <c r="AN746" s="45"/>
      <c r="AO746" s="45"/>
      <c r="AP746" s="45"/>
    </row>
    <row r="747" ht="15.75" customHeight="1" spans="34:42" x14ac:dyDescent="0.25">
      <c r="AH747" s="45"/>
      <c r="AI747" s="45"/>
      <c r="AJ747" s="45"/>
      <c r="AK747" s="45"/>
      <c r="AL747" s="45"/>
      <c r="AM747" s="45"/>
      <c r="AN747" s="45"/>
      <c r="AO747" s="45"/>
      <c r="AP747" s="45"/>
    </row>
    <row r="748" ht="15.75" customHeight="1" spans="34:42" x14ac:dyDescent="0.25">
      <c r="AH748" s="45"/>
      <c r="AI748" s="45"/>
      <c r="AJ748" s="45"/>
      <c r="AK748" s="45"/>
      <c r="AL748" s="45"/>
      <c r="AM748" s="45"/>
      <c r="AN748" s="45"/>
      <c r="AO748" s="45"/>
      <c r="AP748" s="45"/>
    </row>
    <row r="749" ht="15.75" customHeight="1" spans="34:42" x14ac:dyDescent="0.25">
      <c r="AH749" s="45"/>
      <c r="AI749" s="45"/>
      <c r="AJ749" s="45"/>
      <c r="AK749" s="45"/>
      <c r="AL749" s="45"/>
      <c r="AM749" s="45"/>
      <c r="AN749" s="45"/>
      <c r="AO749" s="45"/>
      <c r="AP749" s="45"/>
    </row>
    <row r="750" ht="15.75" customHeight="1" spans="34:42" x14ac:dyDescent="0.25">
      <c r="AH750" s="45"/>
      <c r="AI750" s="45"/>
      <c r="AJ750" s="45"/>
      <c r="AK750" s="45"/>
      <c r="AL750" s="45"/>
      <c r="AM750" s="45"/>
      <c r="AN750" s="45"/>
      <c r="AO750" s="45"/>
      <c r="AP750" s="45"/>
    </row>
    <row r="751" ht="15.75" customHeight="1" spans="34:42" x14ac:dyDescent="0.25">
      <c r="AH751" s="45"/>
      <c r="AI751" s="45"/>
      <c r="AJ751" s="45"/>
      <c r="AK751" s="45"/>
      <c r="AL751" s="45"/>
      <c r="AM751" s="45"/>
      <c r="AN751" s="45"/>
      <c r="AO751" s="45"/>
      <c r="AP751" s="45"/>
    </row>
    <row r="752" ht="15.75" customHeight="1" spans="34:42" x14ac:dyDescent="0.25">
      <c r="AH752" s="45"/>
      <c r="AI752" s="45"/>
      <c r="AJ752" s="45"/>
      <c r="AK752" s="45"/>
      <c r="AL752" s="45"/>
      <c r="AM752" s="45"/>
      <c r="AN752" s="45"/>
      <c r="AO752" s="45"/>
      <c r="AP752" s="45"/>
    </row>
    <row r="753" ht="15.75" customHeight="1" spans="34:42" x14ac:dyDescent="0.25">
      <c r="AH753" s="45"/>
      <c r="AI753" s="45"/>
      <c r="AJ753" s="45"/>
      <c r="AK753" s="45"/>
      <c r="AL753" s="45"/>
      <c r="AM753" s="45"/>
      <c r="AN753" s="45"/>
      <c r="AO753" s="45"/>
      <c r="AP753" s="45"/>
    </row>
    <row r="754" ht="15.75" customHeight="1" spans="34:42" x14ac:dyDescent="0.25">
      <c r="AH754" s="45"/>
      <c r="AI754" s="45"/>
      <c r="AJ754" s="45"/>
      <c r="AK754" s="45"/>
      <c r="AL754" s="45"/>
      <c r="AM754" s="45"/>
      <c r="AN754" s="45"/>
      <c r="AO754" s="45"/>
      <c r="AP754" s="45"/>
    </row>
    <row r="755" ht="15.75" customHeight="1" spans="34:42" x14ac:dyDescent="0.25">
      <c r="AH755" s="45"/>
      <c r="AI755" s="45"/>
      <c r="AJ755" s="45"/>
      <c r="AK755" s="45"/>
      <c r="AL755" s="45"/>
      <c r="AM755" s="45"/>
      <c r="AN755" s="45"/>
      <c r="AO755" s="45"/>
      <c r="AP755" s="45"/>
    </row>
    <row r="756" ht="15.75" customHeight="1" spans="34:42" x14ac:dyDescent="0.25">
      <c r="AH756" s="45"/>
      <c r="AI756" s="45"/>
      <c r="AJ756" s="45"/>
      <c r="AK756" s="45"/>
      <c r="AL756" s="45"/>
      <c r="AM756" s="45"/>
      <c r="AN756" s="45"/>
      <c r="AO756" s="45"/>
      <c r="AP756" s="45"/>
    </row>
    <row r="757" ht="15.75" customHeight="1" spans="34:42" x14ac:dyDescent="0.25">
      <c r="AH757" s="45"/>
      <c r="AI757" s="45"/>
      <c r="AJ757" s="45"/>
      <c r="AK757" s="45"/>
      <c r="AL757" s="45"/>
      <c r="AM757" s="45"/>
      <c r="AN757" s="45"/>
      <c r="AO757" s="45"/>
      <c r="AP757" s="45"/>
    </row>
    <row r="758" ht="15.75" customHeight="1" spans="34:42" x14ac:dyDescent="0.25">
      <c r="AH758" s="45"/>
      <c r="AI758" s="45"/>
      <c r="AJ758" s="45"/>
      <c r="AK758" s="45"/>
      <c r="AL758" s="45"/>
      <c r="AM758" s="45"/>
      <c r="AN758" s="45"/>
      <c r="AO758" s="45"/>
      <c r="AP758" s="45"/>
    </row>
    <row r="759" ht="15.75" customHeight="1" spans="34:42" x14ac:dyDescent="0.25">
      <c r="AH759" s="45"/>
      <c r="AI759" s="45"/>
      <c r="AJ759" s="45"/>
      <c r="AK759" s="45"/>
      <c r="AL759" s="45"/>
      <c r="AM759" s="45"/>
      <c r="AN759" s="45"/>
      <c r="AO759" s="45"/>
      <c r="AP759" s="45"/>
    </row>
    <row r="760" ht="15.75" customHeight="1" spans="34:42" x14ac:dyDescent="0.25">
      <c r="AH760" s="45"/>
      <c r="AI760" s="45"/>
      <c r="AJ760" s="45"/>
      <c r="AK760" s="45"/>
      <c r="AL760" s="45"/>
      <c r="AM760" s="45"/>
      <c r="AN760" s="45"/>
      <c r="AO760" s="45"/>
      <c r="AP760" s="45"/>
    </row>
    <row r="761" ht="15.75" customHeight="1" spans="34:42" x14ac:dyDescent="0.25">
      <c r="AH761" s="45"/>
      <c r="AI761" s="45"/>
      <c r="AJ761" s="45"/>
      <c r="AK761" s="45"/>
      <c r="AL761" s="45"/>
      <c r="AM761" s="45"/>
      <c r="AN761" s="45"/>
      <c r="AO761" s="45"/>
      <c r="AP761" s="45"/>
    </row>
    <row r="762" ht="15.75" customHeight="1" spans="34:42" x14ac:dyDescent="0.25">
      <c r="AH762" s="45"/>
      <c r="AI762" s="45"/>
      <c r="AJ762" s="45"/>
      <c r="AK762" s="45"/>
      <c r="AL762" s="45"/>
      <c r="AM762" s="45"/>
      <c r="AN762" s="45"/>
      <c r="AO762" s="45"/>
      <c r="AP762" s="45"/>
    </row>
    <row r="763" ht="15.75" customHeight="1" spans="34:42" x14ac:dyDescent="0.25">
      <c r="AH763" s="45"/>
      <c r="AI763" s="45"/>
      <c r="AJ763" s="45"/>
      <c r="AK763" s="45"/>
      <c r="AL763" s="45"/>
      <c r="AM763" s="45"/>
      <c r="AN763" s="45"/>
      <c r="AO763" s="45"/>
      <c r="AP763" s="45"/>
    </row>
    <row r="764" ht="15.75" customHeight="1" spans="34:42" x14ac:dyDescent="0.25">
      <c r="AH764" s="45"/>
      <c r="AI764" s="45"/>
      <c r="AJ764" s="45"/>
      <c r="AK764" s="45"/>
      <c r="AL764" s="45"/>
      <c r="AM764" s="45"/>
      <c r="AN764" s="45"/>
      <c r="AO764" s="45"/>
      <c r="AP764" s="45"/>
    </row>
    <row r="765" ht="15.75" customHeight="1" spans="34:42" x14ac:dyDescent="0.25">
      <c r="AH765" s="45"/>
      <c r="AI765" s="45"/>
      <c r="AJ765" s="45"/>
      <c r="AK765" s="45"/>
      <c r="AL765" s="45"/>
      <c r="AM765" s="45"/>
      <c r="AN765" s="45"/>
      <c r="AO765" s="45"/>
      <c r="AP765" s="45"/>
    </row>
    <row r="766" ht="15.75" customHeight="1" spans="34:42" x14ac:dyDescent="0.25">
      <c r="AH766" s="45"/>
      <c r="AI766" s="45"/>
      <c r="AJ766" s="45"/>
      <c r="AK766" s="45"/>
      <c r="AL766" s="45"/>
      <c r="AM766" s="45"/>
      <c r="AN766" s="45"/>
      <c r="AO766" s="45"/>
      <c r="AP766" s="45"/>
    </row>
    <row r="767" ht="15.75" customHeight="1" spans="34:42" x14ac:dyDescent="0.25">
      <c r="AH767" s="45"/>
      <c r="AI767" s="45"/>
      <c r="AJ767" s="45"/>
      <c r="AK767" s="45"/>
      <c r="AL767" s="45"/>
      <c r="AM767" s="45"/>
      <c r="AN767" s="45"/>
      <c r="AO767" s="45"/>
      <c r="AP767" s="45"/>
    </row>
    <row r="768" ht="15.75" customHeight="1" spans="34:42" x14ac:dyDescent="0.25">
      <c r="AH768" s="45"/>
      <c r="AI768" s="45"/>
      <c r="AJ768" s="45"/>
      <c r="AK768" s="45"/>
      <c r="AL768" s="45"/>
      <c r="AM768" s="45"/>
      <c r="AN768" s="45"/>
      <c r="AO768" s="45"/>
      <c r="AP768" s="45"/>
    </row>
    <row r="769" ht="15.75" customHeight="1" spans="34:42" x14ac:dyDescent="0.25">
      <c r="AH769" s="45"/>
      <c r="AI769" s="45"/>
      <c r="AJ769" s="45"/>
      <c r="AK769" s="45"/>
      <c r="AL769" s="45"/>
      <c r="AM769" s="45"/>
      <c r="AN769" s="45"/>
      <c r="AO769" s="45"/>
      <c r="AP769" s="45"/>
    </row>
    <row r="770" ht="15.75" customHeight="1" spans="34:42" x14ac:dyDescent="0.25">
      <c r="AH770" s="45"/>
      <c r="AI770" s="45"/>
      <c r="AJ770" s="45"/>
      <c r="AK770" s="45"/>
      <c r="AL770" s="45"/>
      <c r="AM770" s="45"/>
      <c r="AN770" s="45"/>
      <c r="AO770" s="45"/>
      <c r="AP770" s="45"/>
    </row>
    <row r="771" ht="15.75" customHeight="1" spans="34:42" x14ac:dyDescent="0.25">
      <c r="AH771" s="45"/>
      <c r="AI771" s="45"/>
      <c r="AJ771" s="45"/>
      <c r="AK771" s="45"/>
      <c r="AL771" s="45"/>
      <c r="AM771" s="45"/>
      <c r="AN771" s="45"/>
      <c r="AO771" s="45"/>
      <c r="AP771" s="45"/>
    </row>
    <row r="772" ht="15.75" customHeight="1" spans="34:42" x14ac:dyDescent="0.25">
      <c r="AH772" s="45"/>
      <c r="AI772" s="45"/>
      <c r="AJ772" s="45"/>
      <c r="AK772" s="45"/>
      <c r="AL772" s="45"/>
      <c r="AM772" s="45"/>
      <c r="AN772" s="45"/>
      <c r="AO772" s="45"/>
      <c r="AP772" s="45"/>
    </row>
    <row r="773" ht="15.75" customHeight="1" spans="34:42" x14ac:dyDescent="0.25">
      <c r="AH773" s="45"/>
      <c r="AI773" s="45"/>
      <c r="AJ773" s="45"/>
      <c r="AK773" s="45"/>
      <c r="AL773" s="45"/>
      <c r="AM773" s="45"/>
      <c r="AN773" s="45"/>
      <c r="AO773" s="45"/>
      <c r="AP773" s="45"/>
    </row>
    <row r="774" ht="15.75" customHeight="1" spans="34:42" x14ac:dyDescent="0.25">
      <c r="AH774" s="45"/>
      <c r="AI774" s="45"/>
      <c r="AJ774" s="45"/>
      <c r="AK774" s="45"/>
      <c r="AL774" s="45"/>
      <c r="AM774" s="45"/>
      <c r="AN774" s="45"/>
      <c r="AO774" s="45"/>
      <c r="AP774" s="45"/>
    </row>
    <row r="775" ht="15.75" customHeight="1" spans="34:42" x14ac:dyDescent="0.25">
      <c r="AH775" s="45"/>
      <c r="AI775" s="45"/>
      <c r="AJ775" s="45"/>
      <c r="AK775" s="45"/>
      <c r="AL775" s="45"/>
      <c r="AM775" s="45"/>
      <c r="AN775" s="45"/>
      <c r="AO775" s="45"/>
      <c r="AP775" s="45"/>
    </row>
    <row r="776" ht="15.75" customHeight="1" spans="34:42" x14ac:dyDescent="0.25">
      <c r="AH776" s="45"/>
      <c r="AI776" s="45"/>
      <c r="AJ776" s="45"/>
      <c r="AK776" s="45"/>
      <c r="AL776" s="45"/>
      <c r="AM776" s="45"/>
      <c r="AN776" s="45"/>
      <c r="AO776" s="45"/>
      <c r="AP776" s="45"/>
    </row>
    <row r="777" ht="15.75" customHeight="1" spans="34:42" x14ac:dyDescent="0.25">
      <c r="AH777" s="45"/>
      <c r="AI777" s="45"/>
      <c r="AJ777" s="45"/>
      <c r="AK777" s="45"/>
      <c r="AL777" s="45"/>
      <c r="AM777" s="45"/>
      <c r="AN777" s="45"/>
      <c r="AO777" s="45"/>
      <c r="AP777" s="45"/>
    </row>
    <row r="778" ht="15.75" customHeight="1" spans="34:42" x14ac:dyDescent="0.25">
      <c r="AH778" s="45"/>
      <c r="AI778" s="45"/>
      <c r="AJ778" s="45"/>
      <c r="AK778" s="45"/>
      <c r="AL778" s="45"/>
      <c r="AM778" s="45"/>
      <c r="AN778" s="45"/>
      <c r="AO778" s="45"/>
      <c r="AP778" s="45"/>
    </row>
    <row r="779" ht="15.75" customHeight="1" spans="34:42" x14ac:dyDescent="0.25">
      <c r="AH779" s="45"/>
      <c r="AI779" s="45"/>
      <c r="AJ779" s="45"/>
      <c r="AK779" s="45"/>
      <c r="AL779" s="45"/>
      <c r="AM779" s="45"/>
      <c r="AN779" s="45"/>
      <c r="AO779" s="45"/>
      <c r="AP779" s="45"/>
    </row>
    <row r="780" ht="15.75" customHeight="1" spans="34:42" x14ac:dyDescent="0.25">
      <c r="AH780" s="45"/>
      <c r="AI780" s="45"/>
      <c r="AJ780" s="45"/>
      <c r="AK780" s="45"/>
      <c r="AL780" s="45"/>
      <c r="AM780" s="45"/>
      <c r="AN780" s="45"/>
      <c r="AO780" s="45"/>
      <c r="AP780" s="45"/>
    </row>
    <row r="781" ht="15.75" customHeight="1" spans="34:42" x14ac:dyDescent="0.25">
      <c r="AH781" s="45"/>
      <c r="AI781" s="45"/>
      <c r="AJ781" s="45"/>
      <c r="AK781" s="45"/>
      <c r="AL781" s="45"/>
      <c r="AM781" s="45"/>
      <c r="AN781" s="45"/>
      <c r="AO781" s="45"/>
      <c r="AP781" s="45"/>
    </row>
    <row r="782" ht="15.75" customHeight="1" spans="34:42" x14ac:dyDescent="0.25">
      <c r="AH782" s="45"/>
      <c r="AI782" s="45"/>
      <c r="AJ782" s="45"/>
      <c r="AK782" s="45"/>
      <c r="AL782" s="45"/>
      <c r="AM782" s="45"/>
      <c r="AN782" s="45"/>
      <c r="AO782" s="45"/>
      <c r="AP782" s="45"/>
    </row>
    <row r="783" ht="15.75" customHeight="1" spans="34:42" x14ac:dyDescent="0.25">
      <c r="AH783" s="45"/>
      <c r="AI783" s="45"/>
      <c r="AJ783" s="45"/>
      <c r="AK783" s="45"/>
      <c r="AL783" s="45"/>
      <c r="AM783" s="45"/>
      <c r="AN783" s="45"/>
      <c r="AO783" s="45"/>
      <c r="AP783" s="45"/>
    </row>
    <row r="784" ht="15.75" customHeight="1" spans="34:42" x14ac:dyDescent="0.25">
      <c r="AH784" s="45"/>
      <c r="AI784" s="45"/>
      <c r="AJ784" s="45"/>
      <c r="AK784" s="45"/>
      <c r="AL784" s="45"/>
      <c r="AM784" s="45"/>
      <c r="AN784" s="45"/>
      <c r="AO784" s="45"/>
      <c r="AP784" s="45"/>
    </row>
    <row r="785" ht="15.75" customHeight="1" spans="34:42" x14ac:dyDescent="0.25">
      <c r="AH785" s="45"/>
      <c r="AI785" s="45"/>
      <c r="AJ785" s="45"/>
      <c r="AK785" s="45"/>
      <c r="AL785" s="45"/>
      <c r="AM785" s="45"/>
      <c r="AN785" s="45"/>
      <c r="AO785" s="45"/>
      <c r="AP785" s="45"/>
    </row>
    <row r="786" ht="15.75" customHeight="1" spans="34:42" x14ac:dyDescent="0.25">
      <c r="AH786" s="45"/>
      <c r="AI786" s="45"/>
      <c r="AJ786" s="45"/>
      <c r="AK786" s="45"/>
      <c r="AL786" s="45"/>
      <c r="AM786" s="45"/>
      <c r="AN786" s="45"/>
      <c r="AO786" s="45"/>
      <c r="AP786" s="45"/>
    </row>
    <row r="787" ht="15.75" customHeight="1" spans="34:42" x14ac:dyDescent="0.25">
      <c r="AH787" s="45"/>
      <c r="AI787" s="45"/>
      <c r="AJ787" s="45"/>
      <c r="AK787" s="45"/>
      <c r="AL787" s="45"/>
      <c r="AM787" s="45"/>
      <c r="AN787" s="45"/>
      <c r="AO787" s="45"/>
      <c r="AP787" s="45"/>
    </row>
    <row r="788" ht="15.75" customHeight="1" spans="34:42" x14ac:dyDescent="0.25">
      <c r="AH788" s="45"/>
      <c r="AI788" s="45"/>
      <c r="AJ788" s="45"/>
      <c r="AK788" s="45"/>
      <c r="AL788" s="45"/>
      <c r="AM788" s="45"/>
      <c r="AN788" s="45"/>
      <c r="AO788" s="45"/>
      <c r="AP788" s="45"/>
    </row>
    <row r="789" ht="15.75" customHeight="1" spans="34:42" x14ac:dyDescent="0.25">
      <c r="AH789" s="45"/>
      <c r="AI789" s="45"/>
      <c r="AJ789" s="45"/>
      <c r="AK789" s="45"/>
      <c r="AL789" s="45"/>
      <c r="AM789" s="45"/>
      <c r="AN789" s="45"/>
      <c r="AO789" s="45"/>
      <c r="AP789" s="45"/>
    </row>
    <row r="790" ht="15.75" customHeight="1" spans="34:42" x14ac:dyDescent="0.25">
      <c r="AH790" s="45"/>
      <c r="AI790" s="45"/>
      <c r="AJ790" s="45"/>
      <c r="AK790" s="45"/>
      <c r="AL790" s="45"/>
      <c r="AM790" s="45"/>
      <c r="AN790" s="45"/>
      <c r="AO790" s="45"/>
      <c r="AP790" s="45"/>
    </row>
    <row r="791" ht="15.75" customHeight="1" spans="34:42" x14ac:dyDescent="0.25">
      <c r="AH791" s="45"/>
      <c r="AI791" s="45"/>
      <c r="AJ791" s="45"/>
      <c r="AK791" s="45"/>
      <c r="AL791" s="45"/>
      <c r="AM791" s="45"/>
      <c r="AN791" s="45"/>
      <c r="AO791" s="45"/>
      <c r="AP791" s="45"/>
    </row>
    <row r="792" ht="15.75" customHeight="1" spans="34:42" x14ac:dyDescent="0.25">
      <c r="AH792" s="45"/>
      <c r="AI792" s="45"/>
      <c r="AJ792" s="45"/>
      <c r="AK792" s="45"/>
      <c r="AL792" s="45"/>
      <c r="AM792" s="45"/>
      <c r="AN792" s="45"/>
      <c r="AO792" s="45"/>
      <c r="AP792" s="45"/>
    </row>
    <row r="793" ht="15.75" customHeight="1" spans="34:42" x14ac:dyDescent="0.25">
      <c r="AH793" s="45"/>
      <c r="AI793" s="45"/>
      <c r="AJ793" s="45"/>
      <c r="AK793" s="45"/>
      <c r="AL793" s="45"/>
      <c r="AM793" s="45"/>
      <c r="AN793" s="45"/>
      <c r="AO793" s="45"/>
      <c r="AP793" s="45"/>
    </row>
    <row r="794" ht="15.75" customHeight="1" spans="34:42" x14ac:dyDescent="0.25">
      <c r="AH794" s="45"/>
      <c r="AI794" s="45"/>
      <c r="AJ794" s="45"/>
      <c r="AK794" s="45"/>
      <c r="AL794" s="45"/>
      <c r="AM794" s="45"/>
      <c r="AN794" s="45"/>
      <c r="AO794" s="45"/>
      <c r="AP794" s="45"/>
    </row>
    <row r="795" ht="15.75" customHeight="1" spans="34:42" x14ac:dyDescent="0.25">
      <c r="AH795" s="45"/>
      <c r="AI795" s="45"/>
      <c r="AJ795" s="45"/>
      <c r="AK795" s="45"/>
      <c r="AL795" s="45"/>
      <c r="AM795" s="45"/>
      <c r="AN795" s="45"/>
      <c r="AO795" s="45"/>
      <c r="AP795" s="45"/>
    </row>
    <row r="796" ht="15.75" customHeight="1" spans="34:42" x14ac:dyDescent="0.25">
      <c r="AH796" s="45"/>
      <c r="AI796" s="45"/>
      <c r="AJ796" s="45"/>
      <c r="AK796" s="45"/>
      <c r="AL796" s="45"/>
      <c r="AM796" s="45"/>
      <c r="AN796" s="45"/>
      <c r="AO796" s="45"/>
      <c r="AP796" s="45"/>
    </row>
    <row r="797" ht="15.75" customHeight="1" spans="34:42" x14ac:dyDescent="0.25">
      <c r="AH797" s="45"/>
      <c r="AI797" s="45"/>
      <c r="AJ797" s="45"/>
      <c r="AK797" s="45"/>
      <c r="AL797" s="45"/>
      <c r="AM797" s="45"/>
      <c r="AN797" s="45"/>
      <c r="AO797" s="45"/>
      <c r="AP797" s="45"/>
    </row>
    <row r="798" ht="15.75" customHeight="1" spans="34:42" x14ac:dyDescent="0.25">
      <c r="AH798" s="45"/>
      <c r="AI798" s="45"/>
      <c r="AJ798" s="45"/>
      <c r="AK798" s="45"/>
      <c r="AL798" s="45"/>
      <c r="AM798" s="45"/>
      <c r="AN798" s="45"/>
      <c r="AO798" s="45"/>
      <c r="AP798" s="45"/>
    </row>
    <row r="799" ht="15.75" customHeight="1" spans="34:42" x14ac:dyDescent="0.25">
      <c r="AH799" s="45"/>
      <c r="AI799" s="45"/>
      <c r="AJ799" s="45"/>
      <c r="AK799" s="45"/>
      <c r="AL799" s="45"/>
      <c r="AM799" s="45"/>
      <c r="AN799" s="45"/>
      <c r="AO799" s="45"/>
      <c r="AP799" s="45"/>
    </row>
    <row r="800" ht="15.75" customHeight="1" spans="34:42" x14ac:dyDescent="0.25">
      <c r="AH800" s="45"/>
      <c r="AI800" s="45"/>
      <c r="AJ800" s="45"/>
      <c r="AK800" s="45"/>
      <c r="AL800" s="45"/>
      <c r="AM800" s="45"/>
      <c r="AN800" s="45"/>
      <c r="AO800" s="45"/>
      <c r="AP800" s="45"/>
    </row>
    <row r="801" ht="15.75" customHeight="1" spans="34:42" x14ac:dyDescent="0.25">
      <c r="AH801" s="45"/>
      <c r="AI801" s="45"/>
      <c r="AJ801" s="45"/>
      <c r="AK801" s="45"/>
      <c r="AL801" s="45"/>
      <c r="AM801" s="45"/>
      <c r="AN801" s="45"/>
      <c r="AO801" s="45"/>
      <c r="AP801" s="45"/>
    </row>
    <row r="802" ht="15.75" customHeight="1" spans="34:42" x14ac:dyDescent="0.25">
      <c r="AH802" s="45"/>
      <c r="AI802" s="45"/>
      <c r="AJ802" s="45"/>
      <c r="AK802" s="45"/>
      <c r="AL802" s="45"/>
      <c r="AM802" s="45"/>
      <c r="AN802" s="45"/>
      <c r="AO802" s="45"/>
      <c r="AP802" s="45"/>
    </row>
    <row r="803" ht="15.75" customHeight="1" spans="34:42" x14ac:dyDescent="0.25">
      <c r="AH803" s="45"/>
      <c r="AI803" s="45"/>
      <c r="AJ803" s="45"/>
      <c r="AK803" s="45"/>
      <c r="AL803" s="45"/>
      <c r="AM803" s="45"/>
      <c r="AN803" s="45"/>
      <c r="AO803" s="45"/>
      <c r="AP803" s="45"/>
    </row>
    <row r="804" ht="15.75" customHeight="1" spans="34:42" x14ac:dyDescent="0.25">
      <c r="AH804" s="45"/>
      <c r="AI804" s="45"/>
      <c r="AJ804" s="45"/>
      <c r="AK804" s="45"/>
      <c r="AL804" s="45"/>
      <c r="AM804" s="45"/>
      <c r="AN804" s="45"/>
      <c r="AO804" s="45"/>
      <c r="AP804" s="45"/>
    </row>
    <row r="805" ht="15.75" customHeight="1" spans="34:42" x14ac:dyDescent="0.25">
      <c r="AH805" s="45"/>
      <c r="AI805" s="45"/>
      <c r="AJ805" s="45"/>
      <c r="AK805" s="45"/>
      <c r="AL805" s="45"/>
      <c r="AM805" s="45"/>
      <c r="AN805" s="45"/>
      <c r="AO805" s="45"/>
      <c r="AP805" s="45"/>
    </row>
    <row r="806" ht="15.75" customHeight="1" spans="34:42" x14ac:dyDescent="0.25">
      <c r="AH806" s="45"/>
      <c r="AI806" s="45"/>
      <c r="AJ806" s="45"/>
      <c r="AK806" s="45"/>
      <c r="AL806" s="45"/>
      <c r="AM806" s="45"/>
      <c r="AN806" s="45"/>
      <c r="AO806" s="45"/>
      <c r="AP806" s="45"/>
    </row>
    <row r="807" ht="15.75" customHeight="1" spans="34:42" x14ac:dyDescent="0.25">
      <c r="AH807" s="45"/>
      <c r="AI807" s="45"/>
      <c r="AJ807" s="45"/>
      <c r="AK807" s="45"/>
      <c r="AL807" s="45"/>
      <c r="AM807" s="45"/>
      <c r="AN807" s="45"/>
      <c r="AO807" s="45"/>
      <c r="AP807" s="45"/>
    </row>
    <row r="808" ht="15.75" customHeight="1" spans="34:42" x14ac:dyDescent="0.25">
      <c r="AH808" s="45"/>
      <c r="AI808" s="45"/>
      <c r="AJ808" s="45"/>
      <c r="AK808" s="45"/>
      <c r="AL808" s="45"/>
      <c r="AM808" s="45"/>
      <c r="AN808" s="45"/>
      <c r="AO808" s="45"/>
      <c r="AP808" s="45"/>
    </row>
    <row r="809" ht="15.75" customHeight="1" spans="34:42" x14ac:dyDescent="0.25">
      <c r="AH809" s="45"/>
      <c r="AI809" s="45"/>
      <c r="AJ809" s="45"/>
      <c r="AK809" s="45"/>
      <c r="AL809" s="45"/>
      <c r="AM809" s="45"/>
      <c r="AN809" s="45"/>
      <c r="AO809" s="45"/>
      <c r="AP809" s="45"/>
    </row>
    <row r="810" ht="15.75" customHeight="1" spans="34:42" x14ac:dyDescent="0.25">
      <c r="AH810" s="45"/>
      <c r="AI810" s="45"/>
      <c r="AJ810" s="45"/>
      <c r="AK810" s="45"/>
      <c r="AL810" s="45"/>
      <c r="AM810" s="45"/>
      <c r="AN810" s="45"/>
      <c r="AO810" s="45"/>
      <c r="AP810" s="45"/>
    </row>
    <row r="811" ht="15.75" customHeight="1" spans="34:42" x14ac:dyDescent="0.25">
      <c r="AH811" s="45"/>
      <c r="AI811" s="45"/>
      <c r="AJ811" s="45"/>
      <c r="AK811" s="45"/>
      <c r="AL811" s="45"/>
      <c r="AM811" s="45"/>
      <c r="AN811" s="45"/>
      <c r="AO811" s="45"/>
      <c r="AP811" s="45"/>
    </row>
    <row r="812" ht="15.75" customHeight="1" spans="34:42" x14ac:dyDescent="0.25">
      <c r="AH812" s="45"/>
      <c r="AI812" s="45"/>
      <c r="AJ812" s="45"/>
      <c r="AK812" s="45"/>
      <c r="AL812" s="45"/>
      <c r="AM812" s="45"/>
      <c r="AN812" s="45"/>
      <c r="AO812" s="45"/>
      <c r="AP812" s="45"/>
    </row>
    <row r="813" ht="15.75" customHeight="1" spans="34:42" x14ac:dyDescent="0.25">
      <c r="AH813" s="45"/>
      <c r="AI813" s="45"/>
      <c r="AJ813" s="45"/>
      <c r="AK813" s="45"/>
      <c r="AL813" s="45"/>
      <c r="AM813" s="45"/>
      <c r="AN813" s="45"/>
      <c r="AO813" s="45"/>
      <c r="AP813" s="45"/>
    </row>
    <row r="814" ht="15.75" customHeight="1" spans="34:42" x14ac:dyDescent="0.25">
      <c r="AH814" s="45"/>
      <c r="AI814" s="45"/>
      <c r="AJ814" s="45"/>
      <c r="AK814" s="45"/>
      <c r="AL814" s="45"/>
      <c r="AM814" s="45"/>
      <c r="AN814" s="45"/>
      <c r="AO814" s="45"/>
      <c r="AP814" s="45"/>
    </row>
    <row r="815" ht="15.75" customHeight="1" spans="34:42" x14ac:dyDescent="0.25">
      <c r="AH815" s="45"/>
      <c r="AI815" s="45"/>
      <c r="AJ815" s="45"/>
      <c r="AK815" s="45"/>
      <c r="AL815" s="45"/>
      <c r="AM815" s="45"/>
      <c r="AN815" s="45"/>
      <c r="AO815" s="45"/>
      <c r="AP815" s="45"/>
    </row>
    <row r="816" ht="15.75" customHeight="1" spans="34:42" x14ac:dyDescent="0.25">
      <c r="AH816" s="45"/>
      <c r="AI816" s="45"/>
      <c r="AJ816" s="45"/>
      <c r="AK816" s="45"/>
      <c r="AL816" s="45"/>
      <c r="AM816" s="45"/>
      <c r="AN816" s="45"/>
      <c r="AO816" s="45"/>
      <c r="AP816" s="45"/>
    </row>
    <row r="817" ht="15.75" customHeight="1" spans="34:42" x14ac:dyDescent="0.25">
      <c r="AH817" s="45"/>
      <c r="AI817" s="45"/>
      <c r="AJ817" s="45"/>
      <c r="AK817" s="45"/>
      <c r="AL817" s="45"/>
      <c r="AM817" s="45"/>
      <c r="AN817" s="45"/>
      <c r="AO817" s="45"/>
      <c r="AP817" s="45"/>
    </row>
    <row r="818" ht="15.75" customHeight="1" spans="34:42" x14ac:dyDescent="0.25">
      <c r="AH818" s="45"/>
      <c r="AI818" s="45"/>
      <c r="AJ818" s="45"/>
      <c r="AK818" s="45"/>
      <c r="AL818" s="45"/>
      <c r="AM818" s="45"/>
      <c r="AN818" s="45"/>
      <c r="AO818" s="45"/>
      <c r="AP818" s="45"/>
    </row>
    <row r="819" ht="15.75" customHeight="1" spans="34:42" x14ac:dyDescent="0.25">
      <c r="AH819" s="45"/>
      <c r="AI819" s="45"/>
      <c r="AJ819" s="45"/>
      <c r="AK819" s="45"/>
      <c r="AL819" s="45"/>
      <c r="AM819" s="45"/>
      <c r="AN819" s="45"/>
      <c r="AO819" s="45"/>
      <c r="AP819" s="45"/>
    </row>
    <row r="820" ht="15.75" customHeight="1" spans="34:42" x14ac:dyDescent="0.25">
      <c r="AH820" s="45"/>
      <c r="AI820" s="45"/>
      <c r="AJ820" s="45"/>
      <c r="AK820" s="45"/>
      <c r="AL820" s="45"/>
      <c r="AM820" s="45"/>
      <c r="AN820" s="45"/>
      <c r="AO820" s="45"/>
      <c r="AP820" s="45"/>
    </row>
    <row r="821" ht="15.75" customHeight="1" spans="34:42" x14ac:dyDescent="0.25">
      <c r="AH821" s="45"/>
      <c r="AI821" s="45"/>
      <c r="AJ821" s="45"/>
      <c r="AK821" s="45"/>
      <c r="AL821" s="45"/>
      <c r="AM821" s="45"/>
      <c r="AN821" s="45"/>
      <c r="AO821" s="45"/>
      <c r="AP821" s="45"/>
    </row>
    <row r="822" ht="15.75" customHeight="1" spans="34:42" x14ac:dyDescent="0.25">
      <c r="AH822" s="45"/>
      <c r="AI822" s="45"/>
      <c r="AJ822" s="45"/>
      <c r="AK822" s="45"/>
      <c r="AL822" s="45"/>
      <c r="AM822" s="45"/>
      <c r="AN822" s="45"/>
      <c r="AO822" s="45"/>
      <c r="AP822" s="45"/>
    </row>
    <row r="823" ht="15.75" customHeight="1" spans="34:42" x14ac:dyDescent="0.25">
      <c r="AH823" s="45"/>
      <c r="AI823" s="45"/>
      <c r="AJ823" s="45"/>
      <c r="AK823" s="45"/>
      <c r="AL823" s="45"/>
      <c r="AM823" s="45"/>
      <c r="AN823" s="45"/>
      <c r="AO823" s="45"/>
      <c r="AP823" s="45"/>
    </row>
    <row r="824" ht="15.75" customHeight="1" spans="34:42" x14ac:dyDescent="0.25">
      <c r="AH824" s="45"/>
      <c r="AI824" s="45"/>
      <c r="AJ824" s="45"/>
      <c r="AK824" s="45"/>
      <c r="AL824" s="45"/>
      <c r="AM824" s="45"/>
      <c r="AN824" s="45"/>
      <c r="AO824" s="45"/>
      <c r="AP824" s="45"/>
    </row>
    <row r="825" ht="15.75" customHeight="1" spans="34:42" x14ac:dyDescent="0.25">
      <c r="AH825" s="45"/>
      <c r="AI825" s="45"/>
      <c r="AJ825" s="45"/>
      <c r="AK825" s="45"/>
      <c r="AL825" s="45"/>
      <c r="AM825" s="45"/>
      <c r="AN825" s="45"/>
      <c r="AO825" s="45"/>
      <c r="AP825" s="45"/>
    </row>
    <row r="826" ht="15.75" customHeight="1" spans="34:42" x14ac:dyDescent="0.25">
      <c r="AH826" s="45"/>
      <c r="AI826" s="45"/>
      <c r="AJ826" s="45"/>
      <c r="AK826" s="45"/>
      <c r="AL826" s="45"/>
      <c r="AM826" s="45"/>
      <c r="AN826" s="45"/>
      <c r="AO826" s="45"/>
      <c r="AP826" s="45"/>
    </row>
    <row r="827" ht="15.75" customHeight="1" spans="34:42" x14ac:dyDescent="0.25">
      <c r="AH827" s="45"/>
      <c r="AI827" s="45"/>
      <c r="AJ827" s="45"/>
      <c r="AK827" s="45"/>
      <c r="AL827" s="45"/>
      <c r="AM827" s="45"/>
      <c r="AN827" s="45"/>
      <c r="AO827" s="45"/>
      <c r="AP827" s="45"/>
    </row>
    <row r="828" ht="15.75" customHeight="1" spans="34:42" x14ac:dyDescent="0.25">
      <c r="AH828" s="45"/>
      <c r="AI828" s="45"/>
      <c r="AJ828" s="45"/>
      <c r="AK828" s="45"/>
      <c r="AL828" s="45"/>
      <c r="AM828" s="45"/>
      <c r="AN828" s="45"/>
      <c r="AO828" s="45"/>
      <c r="AP828" s="45"/>
    </row>
    <row r="829" ht="15.75" customHeight="1" spans="34:42" x14ac:dyDescent="0.25">
      <c r="AH829" s="45"/>
      <c r="AI829" s="45"/>
      <c r="AJ829" s="45"/>
      <c r="AK829" s="45"/>
      <c r="AL829" s="45"/>
      <c r="AM829" s="45"/>
      <c r="AN829" s="45"/>
      <c r="AO829" s="45"/>
      <c r="AP829" s="45"/>
    </row>
    <row r="830" ht="15.75" customHeight="1" spans="34:42" x14ac:dyDescent="0.25">
      <c r="AH830" s="45"/>
      <c r="AI830" s="45"/>
      <c r="AJ830" s="45"/>
      <c r="AK830" s="45"/>
      <c r="AL830" s="45"/>
      <c r="AM830" s="45"/>
      <c r="AN830" s="45"/>
      <c r="AO830" s="45"/>
      <c r="AP830" s="45"/>
    </row>
    <row r="831" ht="15.75" customHeight="1" spans="34:42" x14ac:dyDescent="0.25">
      <c r="AH831" s="45"/>
      <c r="AI831" s="45"/>
      <c r="AJ831" s="45"/>
      <c r="AK831" s="45"/>
      <c r="AL831" s="45"/>
      <c r="AM831" s="45"/>
      <c r="AN831" s="45"/>
      <c r="AO831" s="45"/>
      <c r="AP831" s="45"/>
    </row>
    <row r="832" ht="15.75" customHeight="1" spans="34:42" x14ac:dyDescent="0.25">
      <c r="AH832" s="45"/>
      <c r="AI832" s="45"/>
      <c r="AJ832" s="45"/>
      <c r="AK832" s="45"/>
      <c r="AL832" s="45"/>
      <c r="AM832" s="45"/>
      <c r="AN832" s="45"/>
      <c r="AO832" s="45"/>
      <c r="AP832" s="45"/>
    </row>
    <row r="833" ht="15.75" customHeight="1" spans="34:42" x14ac:dyDescent="0.25">
      <c r="AH833" s="45"/>
      <c r="AI833" s="45"/>
      <c r="AJ833" s="45"/>
      <c r="AK833" s="45"/>
      <c r="AL833" s="45"/>
      <c r="AM833" s="45"/>
      <c r="AN833" s="45"/>
      <c r="AO833" s="45"/>
      <c r="AP833" s="45"/>
    </row>
    <row r="834" ht="15.75" customHeight="1" spans="34:42" x14ac:dyDescent="0.25">
      <c r="AH834" s="45"/>
      <c r="AI834" s="45"/>
      <c r="AJ834" s="45"/>
      <c r="AK834" s="45"/>
      <c r="AL834" s="45"/>
      <c r="AM834" s="45"/>
      <c r="AN834" s="45"/>
      <c r="AO834" s="45"/>
      <c r="AP834" s="45"/>
    </row>
    <row r="835" ht="15.75" customHeight="1" spans="34:42" x14ac:dyDescent="0.25">
      <c r="AH835" s="45"/>
      <c r="AI835" s="45"/>
      <c r="AJ835" s="45"/>
      <c r="AK835" s="45"/>
      <c r="AL835" s="45"/>
      <c r="AM835" s="45"/>
      <c r="AN835" s="45"/>
      <c r="AO835" s="45"/>
      <c r="AP835" s="45"/>
    </row>
    <row r="836" ht="15.75" customHeight="1" spans="34:42" x14ac:dyDescent="0.25">
      <c r="AH836" s="45"/>
      <c r="AI836" s="45"/>
      <c r="AJ836" s="45"/>
      <c r="AK836" s="45"/>
      <c r="AL836" s="45"/>
      <c r="AM836" s="45"/>
      <c r="AN836" s="45"/>
      <c r="AO836" s="45"/>
      <c r="AP836" s="45"/>
    </row>
    <row r="837" ht="15.75" customHeight="1" spans="34:42" x14ac:dyDescent="0.25">
      <c r="AH837" s="45"/>
      <c r="AI837" s="45"/>
      <c r="AJ837" s="45"/>
      <c r="AK837" s="45"/>
      <c r="AL837" s="45"/>
      <c r="AM837" s="45"/>
      <c r="AN837" s="45"/>
      <c r="AO837" s="45"/>
      <c r="AP837" s="45"/>
    </row>
    <row r="838" ht="15.75" customHeight="1" spans="34:42" x14ac:dyDescent="0.25">
      <c r="AH838" s="45"/>
      <c r="AI838" s="45"/>
      <c r="AJ838" s="45"/>
      <c r="AK838" s="45"/>
      <c r="AL838" s="45"/>
      <c r="AM838" s="45"/>
      <c r="AN838" s="45"/>
      <c r="AO838" s="45"/>
      <c r="AP838" s="45"/>
    </row>
    <row r="839" ht="15.75" customHeight="1" spans="34:42" x14ac:dyDescent="0.25">
      <c r="AH839" s="45"/>
      <c r="AI839" s="45"/>
      <c r="AJ839" s="45"/>
      <c r="AK839" s="45"/>
      <c r="AL839" s="45"/>
      <c r="AM839" s="45"/>
      <c r="AN839" s="45"/>
      <c r="AO839" s="45"/>
      <c r="AP839" s="45"/>
    </row>
    <row r="840" ht="15.75" customHeight="1" spans="34:42" x14ac:dyDescent="0.25">
      <c r="AH840" s="45"/>
      <c r="AI840" s="45"/>
      <c r="AJ840" s="45"/>
      <c r="AK840" s="45"/>
      <c r="AL840" s="45"/>
      <c r="AM840" s="45"/>
      <c r="AN840" s="45"/>
      <c r="AO840" s="45"/>
      <c r="AP840" s="45"/>
    </row>
    <row r="841" ht="15.75" customHeight="1" spans="34:42" x14ac:dyDescent="0.25">
      <c r="AH841" s="45"/>
      <c r="AI841" s="45"/>
      <c r="AJ841" s="45"/>
      <c r="AK841" s="45"/>
      <c r="AL841" s="45"/>
      <c r="AM841" s="45"/>
      <c r="AN841" s="45"/>
      <c r="AO841" s="45"/>
      <c r="AP841" s="45"/>
    </row>
    <row r="842" ht="15.75" customHeight="1" spans="34:42" x14ac:dyDescent="0.25">
      <c r="AH842" s="45"/>
      <c r="AI842" s="45"/>
      <c r="AJ842" s="45"/>
      <c r="AK842" s="45"/>
      <c r="AL842" s="45"/>
      <c r="AM842" s="45"/>
      <c r="AN842" s="45"/>
      <c r="AO842" s="45"/>
      <c r="AP842" s="45"/>
    </row>
    <row r="843" ht="15.75" customHeight="1" spans="34:42" x14ac:dyDescent="0.25">
      <c r="AH843" s="45"/>
      <c r="AI843" s="45"/>
      <c r="AJ843" s="45"/>
      <c r="AK843" s="45"/>
      <c r="AL843" s="45"/>
      <c r="AM843" s="45"/>
      <c r="AN843" s="45"/>
      <c r="AO843" s="45"/>
      <c r="AP843" s="45"/>
    </row>
    <row r="844" ht="15.75" customHeight="1" spans="34:42" x14ac:dyDescent="0.25">
      <c r="AH844" s="45"/>
      <c r="AI844" s="45"/>
      <c r="AJ844" s="45"/>
      <c r="AK844" s="45"/>
      <c r="AL844" s="45"/>
      <c r="AM844" s="45"/>
      <c r="AN844" s="45"/>
      <c r="AO844" s="45"/>
      <c r="AP844" s="45"/>
    </row>
    <row r="845" ht="15.75" customHeight="1" spans="34:42" x14ac:dyDescent="0.25">
      <c r="AH845" s="45"/>
      <c r="AI845" s="45"/>
      <c r="AJ845" s="45"/>
      <c r="AK845" s="45"/>
      <c r="AL845" s="45"/>
      <c r="AM845" s="45"/>
      <c r="AN845" s="45"/>
      <c r="AO845" s="45"/>
      <c r="AP845" s="45"/>
    </row>
    <row r="846" ht="15.75" customHeight="1" spans="34:42" x14ac:dyDescent="0.25">
      <c r="AH846" s="45"/>
      <c r="AI846" s="45"/>
      <c r="AJ846" s="45"/>
      <c r="AK846" s="45"/>
      <c r="AL846" s="45"/>
      <c r="AM846" s="45"/>
      <c r="AN846" s="45"/>
      <c r="AO846" s="45"/>
      <c r="AP846" s="45"/>
    </row>
    <row r="847" ht="15.75" customHeight="1" spans="34:42" x14ac:dyDescent="0.25">
      <c r="AH847" s="45"/>
      <c r="AI847" s="45"/>
      <c r="AJ847" s="45"/>
      <c r="AK847" s="45"/>
      <c r="AL847" s="45"/>
      <c r="AM847" s="45"/>
      <c r="AN847" s="45"/>
      <c r="AO847" s="45"/>
      <c r="AP847" s="45"/>
    </row>
    <row r="848" ht="15.75" customHeight="1" spans="34:42" x14ac:dyDescent="0.25">
      <c r="AH848" s="45"/>
      <c r="AI848" s="45"/>
      <c r="AJ848" s="45"/>
      <c r="AK848" s="45"/>
      <c r="AL848" s="45"/>
      <c r="AM848" s="45"/>
      <c r="AN848" s="45"/>
      <c r="AO848" s="45"/>
      <c r="AP848" s="45"/>
    </row>
    <row r="849" ht="15.75" customHeight="1" spans="34:42" x14ac:dyDescent="0.25">
      <c r="AH849" s="45"/>
      <c r="AI849" s="45"/>
      <c r="AJ849" s="45"/>
      <c r="AK849" s="45"/>
      <c r="AL849" s="45"/>
      <c r="AM849" s="45"/>
      <c r="AN849" s="45"/>
      <c r="AO849" s="45"/>
      <c r="AP849" s="45"/>
    </row>
    <row r="850" ht="15.75" customHeight="1" spans="34:42" x14ac:dyDescent="0.25">
      <c r="AH850" s="45"/>
      <c r="AI850" s="45"/>
      <c r="AJ850" s="45"/>
      <c r="AK850" s="45"/>
      <c r="AL850" s="45"/>
      <c r="AM850" s="45"/>
      <c r="AN850" s="45"/>
      <c r="AO850" s="45"/>
      <c r="AP850" s="45"/>
    </row>
    <row r="851" ht="15.75" customHeight="1" spans="34:42" x14ac:dyDescent="0.25">
      <c r="AH851" s="45"/>
      <c r="AI851" s="45"/>
      <c r="AJ851" s="45"/>
      <c r="AK851" s="45"/>
      <c r="AL851" s="45"/>
      <c r="AM851" s="45"/>
      <c r="AN851" s="45"/>
      <c r="AO851" s="45"/>
      <c r="AP851" s="45"/>
    </row>
    <row r="852" ht="15.75" customHeight="1" spans="34:42" x14ac:dyDescent="0.25">
      <c r="AH852" s="45"/>
      <c r="AI852" s="45"/>
      <c r="AJ852" s="45"/>
      <c r="AK852" s="45"/>
      <c r="AL852" s="45"/>
      <c r="AM852" s="45"/>
      <c r="AN852" s="45"/>
      <c r="AO852" s="45"/>
      <c r="AP852" s="45"/>
    </row>
    <row r="853" ht="15.75" customHeight="1" spans="34:42" x14ac:dyDescent="0.25">
      <c r="AH853" s="45"/>
      <c r="AI853" s="45"/>
      <c r="AJ853" s="45"/>
      <c r="AK853" s="45"/>
      <c r="AL853" s="45"/>
      <c r="AM853" s="45"/>
      <c r="AN853" s="45"/>
      <c r="AO853" s="45"/>
      <c r="AP853" s="45"/>
    </row>
    <row r="854" ht="15.75" customHeight="1" spans="34:42" x14ac:dyDescent="0.25">
      <c r="AH854" s="45"/>
      <c r="AI854" s="45"/>
      <c r="AJ854" s="45"/>
      <c r="AK854" s="45"/>
      <c r="AL854" s="45"/>
      <c r="AM854" s="45"/>
      <c r="AN854" s="45"/>
      <c r="AO854" s="45"/>
      <c r="AP854" s="45"/>
    </row>
    <row r="855" ht="15.75" customHeight="1" spans="34:42" x14ac:dyDescent="0.25">
      <c r="AH855" s="45"/>
      <c r="AI855" s="45"/>
      <c r="AJ855" s="45"/>
      <c r="AK855" s="45"/>
      <c r="AL855" s="45"/>
      <c r="AM855" s="45"/>
      <c r="AN855" s="45"/>
      <c r="AO855" s="45"/>
      <c r="AP855" s="45"/>
    </row>
    <row r="856" ht="15.75" customHeight="1" spans="34:42" x14ac:dyDescent="0.25">
      <c r="AH856" s="45"/>
      <c r="AI856" s="45"/>
      <c r="AJ856" s="45"/>
      <c r="AK856" s="45"/>
      <c r="AL856" s="45"/>
      <c r="AM856" s="45"/>
      <c r="AN856" s="45"/>
      <c r="AO856" s="45"/>
      <c r="AP856" s="45"/>
    </row>
    <row r="857" ht="15.75" customHeight="1" spans="34:42" x14ac:dyDescent="0.25">
      <c r="AH857" s="45"/>
      <c r="AI857" s="45"/>
      <c r="AJ857" s="45"/>
      <c r="AK857" s="45"/>
      <c r="AL857" s="45"/>
      <c r="AM857" s="45"/>
      <c r="AN857" s="45"/>
      <c r="AO857" s="45"/>
      <c r="AP857" s="45"/>
    </row>
    <row r="858" ht="15.75" customHeight="1" spans="34:42" x14ac:dyDescent="0.25">
      <c r="AH858" s="45"/>
      <c r="AI858" s="45"/>
      <c r="AJ858" s="45"/>
      <c r="AK858" s="45"/>
      <c r="AL858" s="45"/>
      <c r="AM858" s="45"/>
      <c r="AN858" s="45"/>
      <c r="AO858" s="45"/>
      <c r="AP858" s="45"/>
    </row>
    <row r="859" ht="15.75" customHeight="1" spans="34:42" x14ac:dyDescent="0.25">
      <c r="AH859" s="45"/>
      <c r="AI859" s="45"/>
      <c r="AJ859" s="45"/>
      <c r="AK859" s="45"/>
      <c r="AL859" s="45"/>
      <c r="AM859" s="45"/>
      <c r="AN859" s="45"/>
      <c r="AO859" s="45"/>
      <c r="AP859" s="45"/>
    </row>
    <row r="860" ht="15.75" customHeight="1" spans="34:42" x14ac:dyDescent="0.25">
      <c r="AH860" s="45"/>
      <c r="AI860" s="45"/>
      <c r="AJ860" s="45"/>
      <c r="AK860" s="45"/>
      <c r="AL860" s="45"/>
      <c r="AM860" s="45"/>
      <c r="AN860" s="45"/>
      <c r="AO860" s="45"/>
      <c r="AP860" s="45"/>
    </row>
    <row r="861" ht="15.75" customHeight="1" spans="34:42" x14ac:dyDescent="0.25">
      <c r="AH861" s="45"/>
      <c r="AI861" s="45"/>
      <c r="AJ861" s="45"/>
      <c r="AK861" s="45"/>
      <c r="AL861" s="45"/>
      <c r="AM861" s="45"/>
      <c r="AN861" s="45"/>
      <c r="AO861" s="45"/>
      <c r="AP861" s="45"/>
    </row>
    <row r="862" ht="15.75" customHeight="1" spans="34:42" x14ac:dyDescent="0.25">
      <c r="AH862" s="45"/>
      <c r="AI862" s="45"/>
      <c r="AJ862" s="45"/>
      <c r="AK862" s="45"/>
      <c r="AL862" s="45"/>
      <c r="AM862" s="45"/>
      <c r="AN862" s="45"/>
      <c r="AO862" s="45"/>
      <c r="AP862" s="45"/>
    </row>
    <row r="863" ht="15.75" customHeight="1" spans="34:42" x14ac:dyDescent="0.25">
      <c r="AH863" s="45"/>
      <c r="AI863" s="45"/>
      <c r="AJ863" s="45"/>
      <c r="AK863" s="45"/>
      <c r="AL863" s="45"/>
      <c r="AM863" s="45"/>
      <c r="AN863" s="45"/>
      <c r="AO863" s="45"/>
      <c r="AP863" s="45"/>
    </row>
    <row r="864" ht="15.75" customHeight="1" spans="34:42" x14ac:dyDescent="0.25">
      <c r="AH864" s="45"/>
      <c r="AI864" s="45"/>
      <c r="AJ864" s="45"/>
      <c r="AK864" s="45"/>
      <c r="AL864" s="45"/>
      <c r="AM864" s="45"/>
      <c r="AN864" s="45"/>
      <c r="AO864" s="45"/>
      <c r="AP864" s="45"/>
    </row>
    <row r="865" ht="15.75" customHeight="1" spans="34:42" x14ac:dyDescent="0.25">
      <c r="AH865" s="45"/>
      <c r="AI865" s="45"/>
      <c r="AJ865" s="45"/>
      <c r="AK865" s="45"/>
      <c r="AL865" s="45"/>
      <c r="AM865" s="45"/>
      <c r="AN865" s="45"/>
      <c r="AO865" s="45"/>
      <c r="AP865" s="45"/>
    </row>
    <row r="866" ht="15.75" customHeight="1" spans="34:42" x14ac:dyDescent="0.25">
      <c r="AH866" s="45"/>
      <c r="AI866" s="45"/>
      <c r="AJ866" s="45"/>
      <c r="AK866" s="45"/>
      <c r="AL866" s="45"/>
      <c r="AM866" s="45"/>
      <c r="AN866" s="45"/>
      <c r="AO866" s="45"/>
      <c r="AP866" s="45"/>
    </row>
    <row r="867" ht="15.75" customHeight="1" spans="34:42" x14ac:dyDescent="0.25">
      <c r="AH867" s="45"/>
      <c r="AI867" s="45"/>
      <c r="AJ867" s="45"/>
      <c r="AK867" s="45"/>
      <c r="AL867" s="45"/>
      <c r="AM867" s="45"/>
      <c r="AN867" s="45"/>
      <c r="AO867" s="45"/>
      <c r="AP867" s="45"/>
    </row>
    <row r="868" ht="15.75" customHeight="1" spans="34:42" x14ac:dyDescent="0.25">
      <c r="AH868" s="45"/>
      <c r="AI868" s="45"/>
      <c r="AJ868" s="45"/>
      <c r="AK868" s="45"/>
      <c r="AL868" s="45"/>
      <c r="AM868" s="45"/>
      <c r="AN868" s="45"/>
      <c r="AO868" s="45"/>
      <c r="AP868" s="45"/>
    </row>
    <row r="869" ht="15.75" customHeight="1" spans="34:42" x14ac:dyDescent="0.25">
      <c r="AH869" s="45"/>
      <c r="AI869" s="45"/>
      <c r="AJ869" s="45"/>
      <c r="AK869" s="45"/>
      <c r="AL869" s="45"/>
      <c r="AM869" s="45"/>
      <c r="AN869" s="45"/>
      <c r="AO869" s="45"/>
      <c r="AP869" s="45"/>
    </row>
    <row r="870" ht="15.75" customHeight="1" spans="34:42" x14ac:dyDescent="0.25">
      <c r="AH870" s="45"/>
      <c r="AI870" s="45"/>
      <c r="AJ870" s="45"/>
      <c r="AK870" s="45"/>
      <c r="AL870" s="45"/>
      <c r="AM870" s="45"/>
      <c r="AN870" s="45"/>
      <c r="AO870" s="45"/>
      <c r="AP870" s="45"/>
    </row>
    <row r="871" ht="15.75" customHeight="1" spans="34:42" x14ac:dyDescent="0.25">
      <c r="AH871" s="45"/>
      <c r="AI871" s="45"/>
      <c r="AJ871" s="45"/>
      <c r="AK871" s="45"/>
      <c r="AL871" s="45"/>
      <c r="AM871" s="45"/>
      <c r="AN871" s="45"/>
      <c r="AO871" s="45"/>
      <c r="AP871" s="45"/>
    </row>
    <row r="872" ht="15.75" customHeight="1" spans="34:42" x14ac:dyDescent="0.25">
      <c r="AH872" s="45"/>
      <c r="AI872" s="45"/>
      <c r="AJ872" s="45"/>
      <c r="AK872" s="45"/>
      <c r="AL872" s="45"/>
      <c r="AM872" s="45"/>
      <c r="AN872" s="45"/>
      <c r="AO872" s="45"/>
      <c r="AP872" s="45"/>
    </row>
    <row r="873" ht="15.75" customHeight="1" spans="34:42" x14ac:dyDescent="0.25">
      <c r="AH873" s="45"/>
      <c r="AI873" s="45"/>
      <c r="AJ873" s="45"/>
      <c r="AK873" s="45"/>
      <c r="AL873" s="45"/>
      <c r="AM873" s="45"/>
      <c r="AN873" s="45"/>
      <c r="AO873" s="45"/>
      <c r="AP873" s="45"/>
    </row>
    <row r="874" ht="15.75" customHeight="1" spans="34:42" x14ac:dyDescent="0.25">
      <c r="AH874" s="45"/>
      <c r="AI874" s="45"/>
      <c r="AJ874" s="45"/>
      <c r="AK874" s="45"/>
      <c r="AL874" s="45"/>
      <c r="AM874" s="45"/>
      <c r="AN874" s="45"/>
      <c r="AO874" s="45"/>
      <c r="AP874" s="45"/>
    </row>
    <row r="875" ht="15.75" customHeight="1" spans="34:42" x14ac:dyDescent="0.25">
      <c r="AH875" s="45"/>
      <c r="AI875" s="45"/>
      <c r="AJ875" s="45"/>
      <c r="AK875" s="45"/>
      <c r="AL875" s="45"/>
      <c r="AM875" s="45"/>
      <c r="AN875" s="45"/>
      <c r="AO875" s="45"/>
      <c r="AP875" s="45"/>
    </row>
    <row r="876" ht="15.75" customHeight="1" spans="34:42" x14ac:dyDescent="0.25">
      <c r="AH876" s="45"/>
      <c r="AI876" s="45"/>
      <c r="AJ876" s="45"/>
      <c r="AK876" s="45"/>
      <c r="AL876" s="45"/>
      <c r="AM876" s="45"/>
      <c r="AN876" s="45"/>
      <c r="AO876" s="45"/>
      <c r="AP876" s="45"/>
    </row>
    <row r="877" ht="15.75" customHeight="1" spans="34:42" x14ac:dyDescent="0.25">
      <c r="AH877" s="45"/>
      <c r="AI877" s="45"/>
      <c r="AJ877" s="45"/>
      <c r="AK877" s="45"/>
      <c r="AL877" s="45"/>
      <c r="AM877" s="45"/>
      <c r="AN877" s="45"/>
      <c r="AO877" s="45"/>
      <c r="AP877" s="45"/>
    </row>
    <row r="878" ht="15.75" customHeight="1" spans="34:42" x14ac:dyDescent="0.25">
      <c r="AH878" s="45"/>
      <c r="AI878" s="45"/>
      <c r="AJ878" s="45"/>
      <c r="AK878" s="45"/>
      <c r="AL878" s="45"/>
      <c r="AM878" s="45"/>
      <c r="AN878" s="45"/>
      <c r="AO878" s="45"/>
      <c r="AP878" s="45"/>
    </row>
    <row r="879" ht="15.75" customHeight="1" spans="34:42" x14ac:dyDescent="0.25">
      <c r="AH879" s="45"/>
      <c r="AI879" s="45"/>
      <c r="AJ879" s="45"/>
      <c r="AK879" s="45"/>
      <c r="AL879" s="45"/>
      <c r="AM879" s="45"/>
      <c r="AN879" s="45"/>
      <c r="AO879" s="45"/>
      <c r="AP879" s="45"/>
    </row>
    <row r="880" ht="15.75" customHeight="1" spans="34:42" x14ac:dyDescent="0.25">
      <c r="AH880" s="45"/>
      <c r="AI880" s="45"/>
      <c r="AJ880" s="45"/>
      <c r="AK880" s="45"/>
      <c r="AL880" s="45"/>
      <c r="AM880" s="45"/>
      <c r="AN880" s="45"/>
      <c r="AO880" s="45"/>
      <c r="AP880" s="45"/>
    </row>
    <row r="881" ht="15.75" customHeight="1" spans="34:42" x14ac:dyDescent="0.25">
      <c r="AH881" s="45"/>
      <c r="AI881" s="45"/>
      <c r="AJ881" s="45"/>
      <c r="AK881" s="45"/>
      <c r="AL881" s="45"/>
      <c r="AM881" s="45"/>
      <c r="AN881" s="45"/>
      <c r="AO881" s="45"/>
      <c r="AP881" s="45"/>
    </row>
    <row r="882" ht="15.75" customHeight="1" spans="34:42" x14ac:dyDescent="0.25">
      <c r="AH882" s="45"/>
      <c r="AI882" s="45"/>
      <c r="AJ882" s="45"/>
      <c r="AK882" s="45"/>
      <c r="AL882" s="45"/>
      <c r="AM882" s="45"/>
      <c r="AN882" s="45"/>
      <c r="AO882" s="45"/>
      <c r="AP882" s="45"/>
    </row>
    <row r="883" ht="15.75" customHeight="1" spans="34:42" x14ac:dyDescent="0.25">
      <c r="AH883" s="45"/>
      <c r="AI883" s="45"/>
      <c r="AJ883" s="45"/>
      <c r="AK883" s="45"/>
      <c r="AL883" s="45"/>
      <c r="AM883" s="45"/>
      <c r="AN883" s="45"/>
      <c r="AO883" s="45"/>
      <c r="AP883" s="45"/>
    </row>
    <row r="884" ht="15.75" customHeight="1" spans="34:42" x14ac:dyDescent="0.25">
      <c r="AH884" s="45"/>
      <c r="AI884" s="45"/>
      <c r="AJ884" s="45"/>
      <c r="AK884" s="45"/>
      <c r="AL884" s="45"/>
      <c r="AM884" s="45"/>
      <c r="AN884" s="45"/>
      <c r="AO884" s="45"/>
      <c r="AP884" s="45"/>
    </row>
    <row r="885" ht="15.75" customHeight="1" spans="34:42" x14ac:dyDescent="0.25">
      <c r="AH885" s="45"/>
      <c r="AI885" s="45"/>
      <c r="AJ885" s="45"/>
      <c r="AK885" s="45"/>
      <c r="AL885" s="45"/>
      <c r="AM885" s="45"/>
      <c r="AN885" s="45"/>
      <c r="AO885" s="45"/>
      <c r="AP885" s="45"/>
    </row>
    <row r="886" ht="15.75" customHeight="1" spans="34:42" x14ac:dyDescent="0.25">
      <c r="AH886" s="45"/>
      <c r="AI886" s="45"/>
      <c r="AJ886" s="45"/>
      <c r="AK886" s="45"/>
      <c r="AL886" s="45"/>
      <c r="AM886" s="45"/>
      <c r="AN886" s="45"/>
      <c r="AO886" s="45"/>
      <c r="AP886" s="45"/>
    </row>
    <row r="887" ht="15.75" customHeight="1" spans="34:42" x14ac:dyDescent="0.25">
      <c r="AH887" s="45"/>
      <c r="AI887" s="45"/>
      <c r="AJ887" s="45"/>
      <c r="AK887" s="45"/>
      <c r="AL887" s="45"/>
      <c r="AM887" s="45"/>
      <c r="AN887" s="45"/>
      <c r="AO887" s="45"/>
      <c r="AP887" s="45"/>
    </row>
    <row r="888" ht="15.75" customHeight="1" spans="34:42" x14ac:dyDescent="0.25">
      <c r="AH888" s="45"/>
      <c r="AI888" s="45"/>
      <c r="AJ888" s="45"/>
      <c r="AK888" s="45"/>
      <c r="AL888" s="45"/>
      <c r="AM888" s="45"/>
      <c r="AN888" s="45"/>
      <c r="AO888" s="45"/>
      <c r="AP888" s="45"/>
    </row>
    <row r="889" ht="15.75" customHeight="1" spans="34:42" x14ac:dyDescent="0.25">
      <c r="AH889" s="45"/>
      <c r="AI889" s="45"/>
      <c r="AJ889" s="45"/>
      <c r="AK889" s="45"/>
      <c r="AL889" s="45"/>
      <c r="AM889" s="45"/>
      <c r="AN889" s="45"/>
      <c r="AO889" s="45"/>
      <c r="AP889" s="45"/>
    </row>
    <row r="890" ht="15.75" customHeight="1" spans="34:42" x14ac:dyDescent="0.25">
      <c r="AH890" s="45"/>
      <c r="AI890" s="45"/>
      <c r="AJ890" s="45"/>
      <c r="AK890" s="45"/>
      <c r="AL890" s="45"/>
      <c r="AM890" s="45"/>
      <c r="AN890" s="45"/>
      <c r="AO890" s="45"/>
      <c r="AP890" s="45"/>
    </row>
    <row r="891" ht="15.75" customHeight="1" spans="34:42" x14ac:dyDescent="0.25">
      <c r="AH891" s="45"/>
      <c r="AI891" s="45"/>
      <c r="AJ891" s="45"/>
      <c r="AK891" s="45"/>
      <c r="AL891" s="45"/>
      <c r="AM891" s="45"/>
      <c r="AN891" s="45"/>
      <c r="AO891" s="45"/>
      <c r="AP891" s="45"/>
    </row>
    <row r="892" ht="15.75" customHeight="1" spans="34:42" x14ac:dyDescent="0.25">
      <c r="AH892" s="45"/>
      <c r="AI892" s="45"/>
      <c r="AJ892" s="45"/>
      <c r="AK892" s="45"/>
      <c r="AL892" s="45"/>
      <c r="AM892" s="45"/>
      <c r="AN892" s="45"/>
      <c r="AO892" s="45"/>
      <c r="AP892" s="45"/>
    </row>
    <row r="893" ht="15.75" customHeight="1" spans="34:42" x14ac:dyDescent="0.25">
      <c r="AH893" s="45"/>
      <c r="AI893" s="45"/>
      <c r="AJ893" s="45"/>
      <c r="AK893" s="45"/>
      <c r="AL893" s="45"/>
      <c r="AM893" s="45"/>
      <c r="AN893" s="45"/>
      <c r="AO893" s="45"/>
      <c r="AP893" s="45"/>
    </row>
    <row r="894" ht="15.75" customHeight="1" spans="34:42" x14ac:dyDescent="0.25">
      <c r="AH894" s="45"/>
      <c r="AI894" s="45"/>
      <c r="AJ894" s="45"/>
      <c r="AK894" s="45"/>
      <c r="AL894" s="45"/>
      <c r="AM894" s="45"/>
      <c r="AN894" s="45"/>
      <c r="AO894" s="45"/>
      <c r="AP894" s="45"/>
    </row>
    <row r="895" ht="15.75" customHeight="1" spans="34:42" x14ac:dyDescent="0.25">
      <c r="AH895" s="45"/>
      <c r="AI895" s="45"/>
      <c r="AJ895" s="45"/>
      <c r="AK895" s="45"/>
      <c r="AL895" s="45"/>
      <c r="AM895" s="45"/>
      <c r="AN895" s="45"/>
      <c r="AO895" s="45"/>
      <c r="AP895" s="45"/>
    </row>
    <row r="896" ht="15.75" customHeight="1" spans="34:42" x14ac:dyDescent="0.25">
      <c r="AH896" s="45"/>
      <c r="AI896" s="45"/>
      <c r="AJ896" s="45"/>
      <c r="AK896" s="45"/>
      <c r="AL896" s="45"/>
      <c r="AM896" s="45"/>
      <c r="AN896" s="45"/>
      <c r="AO896" s="45"/>
      <c r="AP896" s="45"/>
    </row>
    <row r="897" ht="15.75" customHeight="1" spans="34:42" x14ac:dyDescent="0.25">
      <c r="AH897" s="45"/>
      <c r="AI897" s="45"/>
      <c r="AJ897" s="45"/>
      <c r="AK897" s="45"/>
      <c r="AL897" s="45"/>
      <c r="AM897" s="45"/>
      <c r="AN897" s="45"/>
      <c r="AO897" s="45"/>
      <c r="AP897" s="45"/>
    </row>
    <row r="898" ht="15.75" customHeight="1" spans="34:42" x14ac:dyDescent="0.25">
      <c r="AH898" s="45"/>
      <c r="AI898" s="45"/>
      <c r="AJ898" s="45"/>
      <c r="AK898" s="45"/>
      <c r="AL898" s="45"/>
      <c r="AM898" s="45"/>
      <c r="AN898" s="45"/>
      <c r="AO898" s="45"/>
      <c r="AP898" s="45"/>
    </row>
    <row r="899" ht="15.75" customHeight="1" spans="34:42" x14ac:dyDescent="0.25">
      <c r="AH899" s="45"/>
      <c r="AI899" s="45"/>
      <c r="AJ899" s="45"/>
      <c r="AK899" s="45"/>
      <c r="AL899" s="45"/>
      <c r="AM899" s="45"/>
      <c r="AN899" s="45"/>
      <c r="AO899" s="45"/>
      <c r="AP899" s="45"/>
    </row>
    <row r="900" ht="15.75" customHeight="1" spans="34:42" x14ac:dyDescent="0.25">
      <c r="AH900" s="45"/>
      <c r="AI900" s="45"/>
      <c r="AJ900" s="45"/>
      <c r="AK900" s="45"/>
      <c r="AL900" s="45"/>
      <c r="AM900" s="45"/>
      <c r="AN900" s="45"/>
      <c r="AO900" s="45"/>
      <c r="AP900" s="45"/>
    </row>
    <row r="901" ht="15.75" customHeight="1" spans="34:42" x14ac:dyDescent="0.25">
      <c r="AH901" s="45"/>
      <c r="AI901" s="45"/>
      <c r="AJ901" s="45"/>
      <c r="AK901" s="45"/>
      <c r="AL901" s="45"/>
      <c r="AM901" s="45"/>
      <c r="AN901" s="45"/>
      <c r="AO901" s="45"/>
      <c r="AP901" s="45"/>
    </row>
    <row r="902" ht="15.75" customHeight="1" spans="34:42" x14ac:dyDescent="0.25">
      <c r="AH902" s="45"/>
      <c r="AI902" s="45"/>
      <c r="AJ902" s="45"/>
      <c r="AK902" s="45"/>
      <c r="AL902" s="45"/>
      <c r="AM902" s="45"/>
      <c r="AN902" s="45"/>
      <c r="AO902" s="45"/>
      <c r="AP902" s="45"/>
    </row>
    <row r="903" ht="15.75" customHeight="1" spans="34:42" x14ac:dyDescent="0.25">
      <c r="AH903" s="45"/>
      <c r="AI903" s="45"/>
      <c r="AJ903" s="45"/>
      <c r="AK903" s="45"/>
      <c r="AL903" s="45"/>
      <c r="AM903" s="45"/>
      <c r="AN903" s="45"/>
      <c r="AO903" s="45"/>
      <c r="AP903" s="45"/>
    </row>
    <row r="904" ht="15.75" customHeight="1" spans="34:42" x14ac:dyDescent="0.25">
      <c r="AH904" s="45"/>
      <c r="AI904" s="45"/>
      <c r="AJ904" s="45"/>
      <c r="AK904" s="45"/>
      <c r="AL904" s="45"/>
      <c r="AM904" s="45"/>
      <c r="AN904" s="45"/>
      <c r="AO904" s="45"/>
      <c r="AP904" s="45"/>
    </row>
    <row r="905" ht="15.75" customHeight="1" spans="34:42" x14ac:dyDescent="0.25">
      <c r="AH905" s="45"/>
      <c r="AI905" s="45"/>
      <c r="AJ905" s="45"/>
      <c r="AK905" s="45"/>
      <c r="AL905" s="45"/>
      <c r="AM905" s="45"/>
      <c r="AN905" s="45"/>
      <c r="AO905" s="45"/>
      <c r="AP905" s="45"/>
    </row>
    <row r="906" ht="15.75" customHeight="1" spans="34:42" x14ac:dyDescent="0.25">
      <c r="AH906" s="45"/>
      <c r="AI906" s="45"/>
      <c r="AJ906" s="45"/>
      <c r="AK906" s="45"/>
      <c r="AL906" s="45"/>
      <c r="AM906" s="45"/>
      <c r="AN906" s="45"/>
      <c r="AO906" s="45"/>
      <c r="AP906" s="45"/>
    </row>
    <row r="907" ht="15.75" customHeight="1" spans="34:42" x14ac:dyDescent="0.25">
      <c r="AH907" s="45"/>
      <c r="AI907" s="45"/>
      <c r="AJ907" s="45"/>
      <c r="AK907" s="45"/>
      <c r="AL907" s="45"/>
      <c r="AM907" s="45"/>
      <c r="AN907" s="45"/>
      <c r="AO907" s="45"/>
      <c r="AP907" s="45"/>
    </row>
    <row r="908" ht="15.75" customHeight="1" spans="34:42" x14ac:dyDescent="0.25">
      <c r="AH908" s="45"/>
      <c r="AI908" s="45"/>
      <c r="AJ908" s="45"/>
      <c r="AK908" s="45"/>
      <c r="AL908" s="45"/>
      <c r="AM908" s="45"/>
      <c r="AN908" s="45"/>
      <c r="AO908" s="45"/>
      <c r="AP908" s="45"/>
    </row>
    <row r="909" ht="15.75" customHeight="1" spans="34:42" x14ac:dyDescent="0.25">
      <c r="AH909" s="45"/>
      <c r="AI909" s="45"/>
      <c r="AJ909" s="45"/>
      <c r="AK909" s="45"/>
      <c r="AL909" s="45"/>
      <c r="AM909" s="45"/>
      <c r="AN909" s="45"/>
      <c r="AO909" s="45"/>
      <c r="AP909" s="45"/>
    </row>
    <row r="910" ht="15.75" customHeight="1" spans="34:42" x14ac:dyDescent="0.25">
      <c r="AH910" s="45"/>
      <c r="AI910" s="45"/>
      <c r="AJ910" s="45"/>
      <c r="AK910" s="45"/>
      <c r="AL910" s="45"/>
      <c r="AM910" s="45"/>
      <c r="AN910" s="45"/>
      <c r="AO910" s="45"/>
      <c r="AP910" s="45"/>
    </row>
    <row r="911" ht="15.75" customHeight="1" spans="34:42" x14ac:dyDescent="0.25">
      <c r="AH911" s="45"/>
      <c r="AI911" s="45"/>
      <c r="AJ911" s="45"/>
      <c r="AK911" s="45"/>
      <c r="AL911" s="45"/>
      <c r="AM911" s="45"/>
      <c r="AN911" s="45"/>
      <c r="AO911" s="45"/>
      <c r="AP911" s="45"/>
    </row>
    <row r="912" ht="15.75" customHeight="1" spans="34:42" x14ac:dyDescent="0.25">
      <c r="AH912" s="45"/>
      <c r="AI912" s="45"/>
      <c r="AJ912" s="45"/>
      <c r="AK912" s="45"/>
      <c r="AL912" s="45"/>
      <c r="AM912" s="45"/>
      <c r="AN912" s="45"/>
      <c r="AO912" s="45"/>
      <c r="AP912" s="45"/>
    </row>
    <row r="913" ht="15.75" customHeight="1" spans="34:42" x14ac:dyDescent="0.25">
      <c r="AH913" s="45"/>
      <c r="AI913" s="45"/>
      <c r="AJ913" s="45"/>
      <c r="AK913" s="45"/>
      <c r="AL913" s="45"/>
      <c r="AM913" s="45"/>
      <c r="AN913" s="45"/>
      <c r="AO913" s="45"/>
      <c r="AP913" s="45"/>
    </row>
    <row r="914" ht="15.75" customHeight="1" spans="34:42" x14ac:dyDescent="0.25">
      <c r="AH914" s="45"/>
      <c r="AI914" s="45"/>
      <c r="AJ914" s="45"/>
      <c r="AK914" s="45"/>
      <c r="AL914" s="45"/>
      <c r="AM914" s="45"/>
      <c r="AN914" s="45"/>
      <c r="AO914" s="45"/>
      <c r="AP914" s="45"/>
    </row>
    <row r="915" ht="15.75" customHeight="1" spans="34:42" x14ac:dyDescent="0.25">
      <c r="AH915" s="45"/>
      <c r="AI915" s="45"/>
      <c r="AJ915" s="45"/>
      <c r="AK915" s="45"/>
      <c r="AL915" s="45"/>
      <c r="AM915" s="45"/>
      <c r="AN915" s="45"/>
      <c r="AO915" s="45"/>
      <c r="AP915" s="45"/>
    </row>
    <row r="916" ht="15.75" customHeight="1" spans="34:42" x14ac:dyDescent="0.25">
      <c r="AH916" s="45"/>
      <c r="AI916" s="45"/>
      <c r="AJ916" s="45"/>
      <c r="AK916" s="45"/>
      <c r="AL916" s="45"/>
      <c r="AM916" s="45"/>
      <c r="AN916" s="45"/>
      <c r="AO916" s="45"/>
      <c r="AP916" s="45"/>
    </row>
    <row r="917" ht="15.75" customHeight="1" spans="34:42" x14ac:dyDescent="0.25">
      <c r="AH917" s="45"/>
      <c r="AI917" s="45"/>
      <c r="AJ917" s="45"/>
      <c r="AK917" s="45"/>
      <c r="AL917" s="45"/>
      <c r="AM917" s="45"/>
      <c r="AN917" s="45"/>
      <c r="AO917" s="45"/>
      <c r="AP917" s="45"/>
    </row>
    <row r="918" ht="15.75" customHeight="1" spans="34:42" x14ac:dyDescent="0.25">
      <c r="AH918" s="45"/>
      <c r="AI918" s="45"/>
      <c r="AJ918" s="45"/>
      <c r="AK918" s="45"/>
      <c r="AL918" s="45"/>
      <c r="AM918" s="45"/>
      <c r="AN918" s="45"/>
      <c r="AO918" s="45"/>
      <c r="AP918" s="45"/>
    </row>
    <row r="919" ht="15.75" customHeight="1" spans="34:42" x14ac:dyDescent="0.25">
      <c r="AH919" s="45"/>
      <c r="AI919" s="45"/>
      <c r="AJ919" s="45"/>
      <c r="AK919" s="45"/>
      <c r="AL919" s="45"/>
      <c r="AM919" s="45"/>
      <c r="AN919" s="45"/>
      <c r="AO919" s="45"/>
      <c r="AP919" s="45"/>
    </row>
    <row r="920" ht="15.75" customHeight="1" spans="34:42" x14ac:dyDescent="0.25">
      <c r="AH920" s="45"/>
      <c r="AI920" s="45"/>
      <c r="AJ920" s="45"/>
      <c r="AK920" s="45"/>
      <c r="AL920" s="45"/>
      <c r="AM920" s="45"/>
      <c r="AN920" s="45"/>
      <c r="AO920" s="45"/>
      <c r="AP920" s="45"/>
    </row>
    <row r="921" ht="15.75" customHeight="1" spans="34:42" x14ac:dyDescent="0.25">
      <c r="AH921" s="45"/>
      <c r="AI921" s="45"/>
      <c r="AJ921" s="45"/>
      <c r="AK921" s="45"/>
      <c r="AL921" s="45"/>
      <c r="AM921" s="45"/>
      <c r="AN921" s="45"/>
      <c r="AO921" s="45"/>
      <c r="AP921" s="45"/>
    </row>
    <row r="922" ht="15.75" customHeight="1" spans="34:42" x14ac:dyDescent="0.25">
      <c r="AH922" s="45"/>
      <c r="AI922" s="45"/>
      <c r="AJ922" s="45"/>
      <c r="AK922" s="45"/>
      <c r="AL922" s="45"/>
      <c r="AM922" s="45"/>
      <c r="AN922" s="45"/>
      <c r="AO922" s="45"/>
      <c r="AP922" s="45"/>
    </row>
    <row r="923" ht="15.75" customHeight="1" spans="34:42" x14ac:dyDescent="0.25">
      <c r="AH923" s="45"/>
      <c r="AI923" s="45"/>
      <c r="AJ923" s="45"/>
      <c r="AK923" s="45"/>
      <c r="AL923" s="45"/>
      <c r="AM923" s="45"/>
      <c r="AN923" s="45"/>
      <c r="AO923" s="45"/>
      <c r="AP923" s="45"/>
    </row>
    <row r="924" ht="15.75" customHeight="1" spans="34:42" x14ac:dyDescent="0.25">
      <c r="AH924" s="45"/>
      <c r="AI924" s="45"/>
      <c r="AJ924" s="45"/>
      <c r="AK924" s="45"/>
      <c r="AL924" s="45"/>
      <c r="AM924" s="45"/>
      <c r="AN924" s="45"/>
      <c r="AO924" s="45"/>
      <c r="AP924" s="45"/>
    </row>
    <row r="925" ht="15.75" customHeight="1" spans="34:42" x14ac:dyDescent="0.25">
      <c r="AH925" s="45"/>
      <c r="AI925" s="45"/>
      <c r="AJ925" s="45"/>
      <c r="AK925" s="45"/>
      <c r="AL925" s="45"/>
      <c r="AM925" s="45"/>
      <c r="AN925" s="45"/>
      <c r="AO925" s="45"/>
      <c r="AP925" s="45"/>
    </row>
    <row r="926" ht="15.75" customHeight="1" spans="34:42" x14ac:dyDescent="0.25">
      <c r="AH926" s="45"/>
      <c r="AI926" s="45"/>
      <c r="AJ926" s="45"/>
      <c r="AK926" s="45"/>
      <c r="AL926" s="45"/>
      <c r="AM926" s="45"/>
      <c r="AN926" s="45"/>
      <c r="AO926" s="45"/>
      <c r="AP926" s="45"/>
    </row>
    <row r="927" ht="15.75" customHeight="1" spans="34:42" x14ac:dyDescent="0.25">
      <c r="AH927" s="45"/>
      <c r="AI927" s="45"/>
      <c r="AJ927" s="45"/>
      <c r="AK927" s="45"/>
      <c r="AL927" s="45"/>
      <c r="AM927" s="45"/>
      <c r="AN927" s="45"/>
      <c r="AO927" s="45"/>
      <c r="AP927" s="45"/>
    </row>
    <row r="928" ht="15.75" customHeight="1" spans="34:42" x14ac:dyDescent="0.25">
      <c r="AH928" s="45"/>
      <c r="AI928" s="45"/>
      <c r="AJ928" s="45"/>
      <c r="AK928" s="45"/>
      <c r="AL928" s="45"/>
      <c r="AM928" s="45"/>
      <c r="AN928" s="45"/>
      <c r="AO928" s="45"/>
      <c r="AP928" s="45"/>
    </row>
    <row r="929" ht="15.75" customHeight="1" spans="34:42" x14ac:dyDescent="0.25">
      <c r="AH929" s="45"/>
      <c r="AI929" s="45"/>
      <c r="AJ929" s="45"/>
      <c r="AK929" s="45"/>
      <c r="AL929" s="45"/>
      <c r="AM929" s="45"/>
      <c r="AN929" s="45"/>
      <c r="AO929" s="45"/>
      <c r="AP929" s="45"/>
    </row>
    <row r="930" ht="15.75" customHeight="1" spans="34:42" x14ac:dyDescent="0.25">
      <c r="AH930" s="45"/>
      <c r="AI930" s="45"/>
      <c r="AJ930" s="45"/>
      <c r="AK930" s="45"/>
      <c r="AL930" s="45"/>
      <c r="AM930" s="45"/>
      <c r="AN930" s="45"/>
      <c r="AO930" s="45"/>
      <c r="AP930" s="45"/>
    </row>
    <row r="931" ht="15.75" customHeight="1" spans="34:42" x14ac:dyDescent="0.25">
      <c r="AH931" s="45"/>
      <c r="AI931" s="45"/>
      <c r="AJ931" s="45"/>
      <c r="AK931" s="45"/>
      <c r="AL931" s="45"/>
      <c r="AM931" s="45"/>
      <c r="AN931" s="45"/>
      <c r="AO931" s="45"/>
      <c r="AP931" s="45"/>
    </row>
    <row r="932" ht="15.75" customHeight="1" spans="34:42" x14ac:dyDescent="0.25">
      <c r="AH932" s="45"/>
      <c r="AI932" s="45"/>
      <c r="AJ932" s="45"/>
      <c r="AK932" s="45"/>
      <c r="AL932" s="45"/>
      <c r="AM932" s="45"/>
      <c r="AN932" s="45"/>
      <c r="AO932" s="45"/>
      <c r="AP932" s="45"/>
    </row>
    <row r="933" ht="15.75" customHeight="1" spans="34:42" x14ac:dyDescent="0.25">
      <c r="AH933" s="45"/>
      <c r="AI933" s="45"/>
      <c r="AJ933" s="45"/>
      <c r="AK933" s="45"/>
      <c r="AL933" s="45"/>
      <c r="AM933" s="45"/>
      <c r="AN933" s="45"/>
      <c r="AO933" s="45"/>
      <c r="AP933" s="45"/>
    </row>
    <row r="934" ht="15.75" customHeight="1" spans="34:42" x14ac:dyDescent="0.25">
      <c r="AH934" s="45"/>
      <c r="AI934" s="45"/>
      <c r="AJ934" s="45"/>
      <c r="AK934" s="45"/>
      <c r="AL934" s="45"/>
      <c r="AM934" s="45"/>
      <c r="AN934" s="45"/>
      <c r="AO934" s="45"/>
      <c r="AP934" s="45"/>
    </row>
    <row r="935" ht="15.75" customHeight="1" spans="34:42" x14ac:dyDescent="0.25">
      <c r="AH935" s="45"/>
      <c r="AI935" s="45"/>
      <c r="AJ935" s="45"/>
      <c r="AK935" s="45"/>
      <c r="AL935" s="45"/>
      <c r="AM935" s="45"/>
      <c r="AN935" s="45"/>
      <c r="AO935" s="45"/>
      <c r="AP935" s="45"/>
    </row>
    <row r="936" ht="15.75" customHeight="1" spans="34:42" x14ac:dyDescent="0.25">
      <c r="AH936" s="45"/>
      <c r="AI936" s="45"/>
      <c r="AJ936" s="45"/>
      <c r="AK936" s="45"/>
      <c r="AL936" s="45"/>
      <c r="AM936" s="45"/>
      <c r="AN936" s="45"/>
      <c r="AO936" s="45"/>
      <c r="AP936" s="45"/>
    </row>
    <row r="937" ht="15.75" customHeight="1" spans="34:42" x14ac:dyDescent="0.25">
      <c r="AH937" s="45"/>
      <c r="AI937" s="45"/>
      <c r="AJ937" s="45"/>
      <c r="AK937" s="45"/>
      <c r="AL937" s="45"/>
      <c r="AM937" s="45"/>
      <c r="AN937" s="45"/>
      <c r="AO937" s="45"/>
      <c r="AP937" s="45"/>
    </row>
    <row r="938" ht="15.75" customHeight="1" spans="34:42" x14ac:dyDescent="0.25">
      <c r="AH938" s="45"/>
      <c r="AI938" s="45"/>
      <c r="AJ938" s="45"/>
      <c r="AK938" s="45"/>
      <c r="AL938" s="45"/>
      <c r="AM938" s="45"/>
      <c r="AN938" s="45"/>
      <c r="AO938" s="45"/>
      <c r="AP938" s="45"/>
    </row>
    <row r="939" ht="15.75" customHeight="1" spans="34:42" x14ac:dyDescent="0.25">
      <c r="AH939" s="45"/>
      <c r="AI939" s="45"/>
      <c r="AJ939" s="45"/>
      <c r="AK939" s="45"/>
      <c r="AL939" s="45"/>
      <c r="AM939" s="45"/>
      <c r="AN939" s="45"/>
      <c r="AO939" s="45"/>
      <c r="AP939" s="45"/>
    </row>
    <row r="940" ht="15.75" customHeight="1" spans="34:42" x14ac:dyDescent="0.25">
      <c r="AH940" s="45"/>
      <c r="AI940" s="45"/>
      <c r="AJ940" s="45"/>
      <c r="AK940" s="45"/>
      <c r="AL940" s="45"/>
      <c r="AM940" s="45"/>
      <c r="AN940" s="45"/>
      <c r="AO940" s="45"/>
      <c r="AP940" s="45"/>
    </row>
    <row r="941" ht="15.75" customHeight="1" spans="34:42" x14ac:dyDescent="0.25">
      <c r="AH941" s="45"/>
      <c r="AI941" s="45"/>
      <c r="AJ941" s="45"/>
      <c r="AK941" s="45"/>
      <c r="AL941" s="45"/>
      <c r="AM941" s="45"/>
      <c r="AN941" s="45"/>
      <c r="AO941" s="45"/>
      <c r="AP941" s="45"/>
    </row>
    <row r="942" ht="15.75" customHeight="1" spans="34:42" x14ac:dyDescent="0.25">
      <c r="AH942" s="45"/>
      <c r="AI942" s="45"/>
      <c r="AJ942" s="45"/>
      <c r="AK942" s="45"/>
      <c r="AL942" s="45"/>
      <c r="AM942" s="45"/>
      <c r="AN942" s="45"/>
      <c r="AO942" s="45"/>
      <c r="AP942" s="45"/>
    </row>
    <row r="943" ht="15.75" customHeight="1" spans="34:42" x14ac:dyDescent="0.25">
      <c r="AH943" s="45"/>
      <c r="AI943" s="45"/>
      <c r="AJ943" s="45"/>
      <c r="AK943" s="45"/>
      <c r="AL943" s="45"/>
      <c r="AM943" s="45"/>
      <c r="AN943" s="45"/>
      <c r="AO943" s="45"/>
      <c r="AP943" s="45"/>
    </row>
    <row r="944" ht="15.75" customHeight="1" spans="34:42" x14ac:dyDescent="0.25">
      <c r="AH944" s="45"/>
      <c r="AI944" s="45"/>
      <c r="AJ944" s="45"/>
      <c r="AK944" s="45"/>
      <c r="AL944" s="45"/>
      <c r="AM944" s="45"/>
      <c r="AN944" s="45"/>
      <c r="AO944" s="45"/>
      <c r="AP944" s="45"/>
    </row>
    <row r="945" ht="15.75" customHeight="1" spans="34:42" x14ac:dyDescent="0.25">
      <c r="AH945" s="45"/>
      <c r="AI945" s="45"/>
      <c r="AJ945" s="45"/>
      <c r="AK945" s="45"/>
      <c r="AL945" s="45"/>
      <c r="AM945" s="45"/>
      <c r="AN945" s="45"/>
      <c r="AO945" s="45"/>
      <c r="AP945" s="45"/>
    </row>
    <row r="946" ht="15.75" customHeight="1" spans="34:42" x14ac:dyDescent="0.25">
      <c r="AH946" s="45"/>
      <c r="AI946" s="45"/>
      <c r="AJ946" s="45"/>
      <c r="AK946" s="45"/>
      <c r="AL946" s="45"/>
      <c r="AM946" s="45"/>
      <c r="AN946" s="45"/>
      <c r="AO946" s="45"/>
      <c r="AP946" s="45"/>
    </row>
    <row r="947" ht="15.75" customHeight="1" spans="34:42" x14ac:dyDescent="0.25">
      <c r="AH947" s="45"/>
      <c r="AI947" s="45"/>
      <c r="AJ947" s="45"/>
      <c r="AK947" s="45"/>
      <c r="AL947" s="45"/>
      <c r="AM947" s="45"/>
      <c r="AN947" s="45"/>
      <c r="AO947" s="45"/>
      <c r="AP947" s="45"/>
    </row>
    <row r="948" ht="15.75" customHeight="1" spans="34:42" x14ac:dyDescent="0.25">
      <c r="AH948" s="45"/>
      <c r="AI948" s="45"/>
      <c r="AJ948" s="45"/>
      <c r="AK948" s="45"/>
      <c r="AL948" s="45"/>
      <c r="AM948" s="45"/>
      <c r="AN948" s="45"/>
      <c r="AO948" s="45"/>
      <c r="AP948" s="45"/>
    </row>
    <row r="949" ht="15.75" customHeight="1" spans="34:42" x14ac:dyDescent="0.25">
      <c r="AH949" s="45"/>
      <c r="AI949" s="45"/>
      <c r="AJ949" s="45"/>
      <c r="AK949" s="45"/>
      <c r="AL949" s="45"/>
      <c r="AM949" s="45"/>
      <c r="AN949" s="45"/>
      <c r="AO949" s="45"/>
      <c r="AP949" s="45"/>
    </row>
    <row r="950" ht="15.75" customHeight="1" spans="34:42" x14ac:dyDescent="0.25">
      <c r="AH950" s="45"/>
      <c r="AI950" s="45"/>
      <c r="AJ950" s="45"/>
      <c r="AK950" s="45"/>
      <c r="AL950" s="45"/>
      <c r="AM950" s="45"/>
      <c r="AN950" s="45"/>
      <c r="AO950" s="45"/>
      <c r="AP950" s="45"/>
    </row>
    <row r="951" ht="15.75" customHeight="1" spans="34:42" x14ac:dyDescent="0.25">
      <c r="AH951" s="45"/>
      <c r="AI951" s="45"/>
      <c r="AJ951" s="45"/>
      <c r="AK951" s="45"/>
      <c r="AL951" s="45"/>
      <c r="AM951" s="45"/>
      <c r="AN951" s="45"/>
      <c r="AO951" s="45"/>
      <c r="AP951" s="45"/>
    </row>
    <row r="952" ht="15.75" customHeight="1" spans="34:42" x14ac:dyDescent="0.25">
      <c r="AH952" s="45"/>
      <c r="AI952" s="45"/>
      <c r="AJ952" s="45"/>
      <c r="AK952" s="45"/>
      <c r="AL952" s="45"/>
      <c r="AM952" s="45"/>
      <c r="AN952" s="45"/>
      <c r="AO952" s="45"/>
      <c r="AP952" s="45"/>
    </row>
    <row r="953" ht="15.75" customHeight="1" spans="34:42" x14ac:dyDescent="0.25">
      <c r="AH953" s="45"/>
      <c r="AI953" s="45"/>
      <c r="AJ953" s="45"/>
      <c r="AK953" s="45"/>
      <c r="AL953" s="45"/>
      <c r="AM953" s="45"/>
      <c r="AN953" s="45"/>
      <c r="AO953" s="45"/>
      <c r="AP953" s="45"/>
    </row>
    <row r="954" ht="15.75" customHeight="1" spans="34:42" x14ac:dyDescent="0.25">
      <c r="AH954" s="45"/>
      <c r="AI954" s="45"/>
      <c r="AJ954" s="45"/>
      <c r="AK954" s="45"/>
      <c r="AL954" s="45"/>
      <c r="AM954" s="45"/>
      <c r="AN954" s="45"/>
      <c r="AO954" s="45"/>
      <c r="AP954" s="45"/>
    </row>
    <row r="955" ht="15.75" customHeight="1" spans="34:42" x14ac:dyDescent="0.25">
      <c r="AH955" s="45"/>
      <c r="AI955" s="45"/>
      <c r="AJ955" s="45"/>
      <c r="AK955" s="45"/>
      <c r="AL955" s="45"/>
      <c r="AM955" s="45"/>
      <c r="AN955" s="45"/>
      <c r="AO955" s="45"/>
      <c r="AP955" s="45"/>
    </row>
    <row r="956" ht="15.75" customHeight="1" spans="34:42" x14ac:dyDescent="0.25">
      <c r="AH956" s="45"/>
      <c r="AI956" s="45"/>
      <c r="AJ956" s="45"/>
      <c r="AK956" s="45"/>
      <c r="AL956" s="45"/>
      <c r="AM956" s="45"/>
      <c r="AN956" s="45"/>
      <c r="AO956" s="45"/>
      <c r="AP956" s="45"/>
    </row>
    <row r="957" ht="15.75" customHeight="1" spans="34:42" x14ac:dyDescent="0.25">
      <c r="AH957" s="45"/>
      <c r="AI957" s="45"/>
      <c r="AJ957" s="45"/>
      <c r="AK957" s="45"/>
      <c r="AL957" s="45"/>
      <c r="AM957" s="45"/>
      <c r="AN957" s="45"/>
      <c r="AO957" s="45"/>
      <c r="AP957" s="45"/>
    </row>
    <row r="958" ht="15.75" customHeight="1" spans="34:42" x14ac:dyDescent="0.25">
      <c r="AH958" s="45"/>
      <c r="AI958" s="45"/>
      <c r="AJ958" s="45"/>
      <c r="AK958" s="45"/>
      <c r="AL958" s="45"/>
      <c r="AM958" s="45"/>
      <c r="AN958" s="45"/>
      <c r="AO958" s="45"/>
      <c r="AP958" s="45"/>
    </row>
    <row r="959" ht="15.75" customHeight="1" spans="34:42" x14ac:dyDescent="0.25">
      <c r="AH959" s="45"/>
      <c r="AI959" s="45"/>
      <c r="AJ959" s="45"/>
      <c r="AK959" s="45"/>
      <c r="AL959" s="45"/>
      <c r="AM959" s="45"/>
      <c r="AN959" s="45"/>
      <c r="AO959" s="45"/>
      <c r="AP959" s="45"/>
    </row>
    <row r="960" ht="15.75" customHeight="1" spans="34:42" x14ac:dyDescent="0.25">
      <c r="AH960" s="45"/>
      <c r="AI960" s="45"/>
      <c r="AJ960" s="45"/>
      <c r="AK960" s="45"/>
      <c r="AL960" s="45"/>
      <c r="AM960" s="45"/>
      <c r="AN960" s="45"/>
      <c r="AO960" s="45"/>
      <c r="AP960" s="45"/>
    </row>
    <row r="961" ht="15.75" customHeight="1" spans="34:42" x14ac:dyDescent="0.25">
      <c r="AH961" s="45"/>
      <c r="AI961" s="45"/>
      <c r="AJ961" s="45"/>
      <c r="AK961" s="45"/>
      <c r="AL961" s="45"/>
      <c r="AM961" s="45"/>
      <c r="AN961" s="45"/>
      <c r="AO961" s="45"/>
      <c r="AP961" s="45"/>
    </row>
    <row r="962" ht="15.75" customHeight="1" spans="34:42" x14ac:dyDescent="0.25">
      <c r="AH962" s="45"/>
      <c r="AI962" s="45"/>
      <c r="AJ962" s="45"/>
      <c r="AK962" s="45"/>
      <c r="AL962" s="45"/>
      <c r="AM962" s="45"/>
      <c r="AN962" s="45"/>
      <c r="AO962" s="45"/>
      <c r="AP962" s="45"/>
    </row>
    <row r="963" ht="15.75" customHeight="1" spans="34:42" x14ac:dyDescent="0.25">
      <c r="AH963" s="45"/>
      <c r="AI963" s="45"/>
      <c r="AJ963" s="45"/>
      <c r="AK963" s="45"/>
      <c r="AL963" s="45"/>
      <c r="AM963" s="45"/>
      <c r="AN963" s="45"/>
      <c r="AO963" s="45"/>
      <c r="AP963" s="45"/>
    </row>
    <row r="964" ht="15.75" customHeight="1" spans="34:42" x14ac:dyDescent="0.25">
      <c r="AH964" s="45"/>
      <c r="AI964" s="45"/>
      <c r="AJ964" s="45"/>
      <c r="AK964" s="45"/>
      <c r="AL964" s="45"/>
      <c r="AM964" s="45"/>
      <c r="AN964" s="45"/>
      <c r="AO964" s="45"/>
      <c r="AP964" s="45"/>
    </row>
    <row r="965" ht="15.75" customHeight="1" spans="34:42" x14ac:dyDescent="0.25">
      <c r="AH965" s="45"/>
      <c r="AI965" s="45"/>
      <c r="AJ965" s="45"/>
      <c r="AK965" s="45"/>
      <c r="AL965" s="45"/>
      <c r="AM965" s="45"/>
      <c r="AN965" s="45"/>
      <c r="AO965" s="45"/>
      <c r="AP965" s="45"/>
    </row>
    <row r="966" ht="15.75" customHeight="1" spans="34:42" x14ac:dyDescent="0.25">
      <c r="AH966" s="45"/>
      <c r="AI966" s="45"/>
      <c r="AJ966" s="45"/>
      <c r="AK966" s="45"/>
      <c r="AL966" s="45"/>
      <c r="AM966" s="45"/>
      <c r="AN966" s="45"/>
      <c r="AO966" s="45"/>
      <c r="AP966" s="45"/>
    </row>
    <row r="967" ht="15.75" customHeight="1" spans="34:42" x14ac:dyDescent="0.25">
      <c r="AH967" s="45"/>
      <c r="AI967" s="45"/>
      <c r="AJ967" s="45"/>
      <c r="AK967" s="45"/>
      <c r="AL967" s="45"/>
      <c r="AM967" s="45"/>
      <c r="AN967" s="45"/>
      <c r="AO967" s="45"/>
      <c r="AP967" s="45"/>
    </row>
    <row r="968" ht="15.75" customHeight="1" spans="34:42" x14ac:dyDescent="0.25">
      <c r="AH968" s="45"/>
      <c r="AI968" s="45"/>
      <c r="AJ968" s="45"/>
      <c r="AK968" s="45"/>
      <c r="AL968" s="45"/>
      <c r="AM968" s="45"/>
      <c r="AN968" s="45"/>
      <c r="AO968" s="45"/>
      <c r="AP968" s="45"/>
    </row>
    <row r="969" ht="15.75" customHeight="1" spans="34:42" x14ac:dyDescent="0.25">
      <c r="AH969" s="45"/>
      <c r="AI969" s="45"/>
      <c r="AJ969" s="45"/>
      <c r="AK969" s="45"/>
      <c r="AL969" s="45"/>
      <c r="AM969" s="45"/>
      <c r="AN969" s="45"/>
      <c r="AO969" s="45"/>
      <c r="AP969" s="45"/>
    </row>
    <row r="970" ht="15.75" customHeight="1" spans="34:42" x14ac:dyDescent="0.25">
      <c r="AH970" s="45"/>
      <c r="AI970" s="45"/>
      <c r="AJ970" s="45"/>
      <c r="AK970" s="45"/>
      <c r="AL970" s="45"/>
      <c r="AM970" s="45"/>
      <c r="AN970" s="45"/>
      <c r="AO970" s="45"/>
      <c r="AP970" s="45"/>
    </row>
    <row r="971" ht="15.75" customHeight="1" spans="34:42" x14ac:dyDescent="0.25">
      <c r="AH971" s="45"/>
      <c r="AI971" s="45"/>
      <c r="AJ971" s="45"/>
      <c r="AK971" s="45"/>
      <c r="AL971" s="45"/>
      <c r="AM971" s="45"/>
      <c r="AN971" s="45"/>
      <c r="AO971" s="45"/>
      <c r="AP971" s="45"/>
    </row>
    <row r="972" ht="15.75" customHeight="1" spans="34:42" x14ac:dyDescent="0.25">
      <c r="AH972" s="45"/>
      <c r="AI972" s="45"/>
      <c r="AJ972" s="45"/>
      <c r="AK972" s="45"/>
      <c r="AL972" s="45"/>
      <c r="AM972" s="45"/>
      <c r="AN972" s="45"/>
      <c r="AO972" s="45"/>
      <c r="AP972" s="45"/>
    </row>
    <row r="973" ht="15.75" customHeight="1" spans="34:42" x14ac:dyDescent="0.25">
      <c r="AH973" s="45"/>
      <c r="AI973" s="45"/>
      <c r="AJ973" s="45"/>
      <c r="AK973" s="45"/>
      <c r="AL973" s="45"/>
      <c r="AM973" s="45"/>
      <c r="AN973" s="45"/>
      <c r="AO973" s="45"/>
      <c r="AP973" s="45"/>
    </row>
    <row r="974" ht="15.75" customHeight="1" spans="34:42" x14ac:dyDescent="0.25">
      <c r="AH974" s="45"/>
      <c r="AI974" s="45"/>
      <c r="AJ974" s="45"/>
      <c r="AK974" s="45"/>
      <c r="AL974" s="45"/>
      <c r="AM974" s="45"/>
      <c r="AN974" s="45"/>
      <c r="AO974" s="45"/>
      <c r="AP974" s="45"/>
    </row>
    <row r="975" ht="15.75" customHeight="1" spans="34:42" x14ac:dyDescent="0.25">
      <c r="AH975" s="45"/>
      <c r="AI975" s="45"/>
      <c r="AJ975" s="45"/>
      <c r="AK975" s="45"/>
      <c r="AL975" s="45"/>
      <c r="AM975" s="45"/>
      <c r="AN975" s="45"/>
      <c r="AO975" s="45"/>
      <c r="AP975" s="45"/>
    </row>
    <row r="976" ht="15.75" customHeight="1" spans="34:42" x14ac:dyDescent="0.25">
      <c r="AH976" s="45"/>
      <c r="AI976" s="45"/>
      <c r="AJ976" s="45"/>
      <c r="AK976" s="45"/>
      <c r="AL976" s="45"/>
      <c r="AM976" s="45"/>
      <c r="AN976" s="45"/>
      <c r="AO976" s="45"/>
      <c r="AP976" s="45"/>
    </row>
    <row r="977" ht="15.75" customHeight="1" spans="34:42" x14ac:dyDescent="0.25">
      <c r="AH977" s="45"/>
      <c r="AI977" s="45"/>
      <c r="AJ977" s="45"/>
      <c r="AK977" s="45"/>
      <c r="AL977" s="45"/>
      <c r="AM977" s="45"/>
      <c r="AN977" s="45"/>
      <c r="AO977" s="45"/>
      <c r="AP977" s="45"/>
    </row>
    <row r="978" ht="15.75" customHeight="1" spans="34:42" x14ac:dyDescent="0.25">
      <c r="AH978" s="45"/>
      <c r="AI978" s="45"/>
      <c r="AJ978" s="45"/>
      <c r="AK978" s="45"/>
      <c r="AL978" s="45"/>
      <c r="AM978" s="45"/>
      <c r="AN978" s="45"/>
      <c r="AO978" s="45"/>
      <c r="AP978" s="45"/>
    </row>
    <row r="979" ht="15.75" customHeight="1" spans="34:42" x14ac:dyDescent="0.25">
      <c r="AH979" s="45"/>
      <c r="AI979" s="45"/>
      <c r="AJ979" s="45"/>
      <c r="AK979" s="45"/>
      <c r="AL979" s="45"/>
      <c r="AM979" s="45"/>
      <c r="AN979" s="45"/>
      <c r="AO979" s="45"/>
      <c r="AP979" s="45"/>
    </row>
    <row r="980" ht="15.75" customHeight="1" spans="34:42" x14ac:dyDescent="0.25">
      <c r="AH980" s="45"/>
      <c r="AI980" s="45"/>
      <c r="AJ980" s="45"/>
      <c r="AK980" s="45"/>
      <c r="AL980" s="45"/>
      <c r="AM980" s="45"/>
      <c r="AN980" s="45"/>
      <c r="AO980" s="45"/>
      <c r="AP980" s="45"/>
    </row>
    <row r="981" ht="15.75" customHeight="1" spans="34:42" x14ac:dyDescent="0.25">
      <c r="AH981" s="45"/>
      <c r="AI981" s="45"/>
      <c r="AJ981" s="45"/>
      <c r="AK981" s="45"/>
      <c r="AL981" s="45"/>
      <c r="AM981" s="45"/>
      <c r="AN981" s="45"/>
      <c r="AO981" s="45"/>
      <c r="AP981" s="45"/>
    </row>
    <row r="982" ht="15.75" customHeight="1" spans="34:42" x14ac:dyDescent="0.25">
      <c r="AH982" s="45"/>
      <c r="AI982" s="45"/>
      <c r="AJ982" s="45"/>
      <c r="AK982" s="45"/>
      <c r="AL982" s="45"/>
      <c r="AM982" s="45"/>
      <c r="AN982" s="45"/>
      <c r="AO982" s="45"/>
      <c r="AP982" s="45"/>
    </row>
    <row r="983" ht="15.75" customHeight="1" spans="34:42" x14ac:dyDescent="0.25">
      <c r="AH983" s="45"/>
      <c r="AI983" s="45"/>
      <c r="AJ983" s="45"/>
      <c r="AK983" s="45"/>
      <c r="AL983" s="45"/>
      <c r="AM983" s="45"/>
      <c r="AN983" s="45"/>
      <c r="AO983" s="45"/>
      <c r="AP983" s="45"/>
    </row>
    <row r="984" ht="15.75" customHeight="1" spans="34:42" x14ac:dyDescent="0.25">
      <c r="AH984" s="45"/>
      <c r="AI984" s="45"/>
      <c r="AJ984" s="45"/>
      <c r="AK984" s="45"/>
      <c r="AL984" s="45"/>
      <c r="AM984" s="45"/>
      <c r="AN984" s="45"/>
      <c r="AO984" s="45"/>
      <c r="AP984" s="45"/>
    </row>
    <row r="985" ht="15.75" customHeight="1" spans="34:42" x14ac:dyDescent="0.25">
      <c r="AH985" s="45"/>
      <c r="AI985" s="45"/>
      <c r="AJ985" s="45"/>
      <c r="AK985" s="45"/>
      <c r="AL985" s="45"/>
      <c r="AM985" s="45"/>
      <c r="AN985" s="45"/>
      <c r="AO985" s="45"/>
      <c r="AP985" s="45"/>
    </row>
    <row r="986" ht="15.75" customHeight="1" spans="34:42" x14ac:dyDescent="0.25">
      <c r="AH986" s="45"/>
      <c r="AI986" s="45"/>
      <c r="AJ986" s="45"/>
      <c r="AK986" s="45"/>
      <c r="AL986" s="45"/>
      <c r="AM986" s="45"/>
      <c r="AN986" s="45"/>
      <c r="AO986" s="45"/>
      <c r="AP986" s="45"/>
    </row>
    <row r="987" ht="15.75" customHeight="1" spans="34:42" x14ac:dyDescent="0.25">
      <c r="AH987" s="45"/>
      <c r="AI987" s="45"/>
      <c r="AJ987" s="45"/>
      <c r="AK987" s="45"/>
      <c r="AL987" s="45"/>
      <c r="AM987" s="45"/>
      <c r="AN987" s="45"/>
      <c r="AO987" s="45"/>
      <c r="AP987" s="45"/>
    </row>
    <row r="988" ht="15.75" customHeight="1" spans="34:42" x14ac:dyDescent="0.25">
      <c r="AH988" s="45"/>
      <c r="AI988" s="45"/>
      <c r="AJ988" s="45"/>
      <c r="AK988" s="45"/>
      <c r="AL988" s="45"/>
      <c r="AM988" s="45"/>
      <c r="AN988" s="45"/>
      <c r="AO988" s="45"/>
      <c r="AP988" s="45"/>
    </row>
    <row r="989" ht="15.75" customHeight="1" spans="34:42" x14ac:dyDescent="0.25">
      <c r="AH989" s="45"/>
      <c r="AI989" s="45"/>
      <c r="AJ989" s="45"/>
      <c r="AK989" s="45"/>
      <c r="AL989" s="45"/>
      <c r="AM989" s="45"/>
      <c r="AN989" s="45"/>
      <c r="AO989" s="45"/>
      <c r="AP989" s="45"/>
    </row>
    <row r="990" ht="15.75" customHeight="1" spans="34:42" x14ac:dyDescent="0.25">
      <c r="AH990" s="45"/>
      <c r="AI990" s="45"/>
      <c r="AJ990" s="45"/>
      <c r="AK990" s="45"/>
      <c r="AL990" s="45"/>
      <c r="AM990" s="45"/>
      <c r="AN990" s="45"/>
      <c r="AO990" s="45"/>
      <c r="AP990" s="45"/>
    </row>
    <row r="991" ht="15.75" customHeight="1" spans="34:42" x14ac:dyDescent="0.25">
      <c r="AH991" s="45"/>
      <c r="AI991" s="45"/>
      <c r="AJ991" s="45"/>
      <c r="AK991" s="45"/>
      <c r="AL991" s="45"/>
      <c r="AM991" s="45"/>
      <c r="AN991" s="45"/>
      <c r="AO991" s="45"/>
      <c r="AP991" s="45"/>
    </row>
    <row r="992" ht="15.75" customHeight="1" spans="34:42" x14ac:dyDescent="0.25">
      <c r="AH992" s="45"/>
      <c r="AI992" s="45"/>
      <c r="AJ992" s="45"/>
      <c r="AK992" s="45"/>
      <c r="AL992" s="45"/>
      <c r="AM992" s="45"/>
      <c r="AN992" s="45"/>
      <c r="AO992" s="45"/>
      <c r="AP992" s="45"/>
    </row>
    <row r="993" ht="15.75" customHeight="1" spans="34:42" x14ac:dyDescent="0.25">
      <c r="AH993" s="45"/>
      <c r="AI993" s="45"/>
      <c r="AJ993" s="45"/>
      <c r="AK993" s="45"/>
      <c r="AL993" s="45"/>
      <c r="AM993" s="45"/>
      <c r="AN993" s="45"/>
      <c r="AO993" s="45"/>
      <c r="AP993" s="45"/>
    </row>
    <row r="994" ht="15.75" customHeight="1" spans="34:42" x14ac:dyDescent="0.25">
      <c r="AH994" s="45"/>
      <c r="AI994" s="45"/>
      <c r="AJ994" s="45"/>
      <c r="AK994" s="45"/>
      <c r="AL994" s="45"/>
      <c r="AM994" s="45"/>
      <c r="AN994" s="45"/>
      <c r="AO994" s="45"/>
      <c r="AP994" s="45"/>
    </row>
    <row r="995" ht="15.75" customHeight="1" spans="34:42" x14ac:dyDescent="0.25">
      <c r="AH995" s="45"/>
      <c r="AI995" s="45"/>
      <c r="AJ995" s="45"/>
      <c r="AK995" s="45"/>
      <c r="AL995" s="45"/>
      <c r="AM995" s="45"/>
      <c r="AN995" s="45"/>
      <c r="AO995" s="45"/>
      <c r="AP995" s="45"/>
    </row>
    <row r="996" ht="15.75" customHeight="1" spans="34:42" x14ac:dyDescent="0.25">
      <c r="AH996" s="45"/>
      <c r="AI996" s="45"/>
      <c r="AJ996" s="45"/>
      <c r="AK996" s="45"/>
      <c r="AL996" s="45"/>
      <c r="AM996" s="45"/>
      <c r="AN996" s="45"/>
      <c r="AO996" s="45"/>
      <c r="AP996" s="45"/>
    </row>
    <row r="997" ht="15.75" customHeight="1" spans="34:42" x14ac:dyDescent="0.25">
      <c r="AH997" s="45"/>
      <c r="AI997" s="45"/>
      <c r="AJ997" s="45"/>
      <c r="AK997" s="45"/>
      <c r="AL997" s="45"/>
      <c r="AM997" s="45"/>
      <c r="AN997" s="45"/>
      <c r="AO997" s="45"/>
      <c r="AP997" s="45"/>
    </row>
  </sheetData>
  <mergeCells count="58">
    <mergeCell ref="A1:AP1"/>
    <mergeCell ref="A2:AP2"/>
    <mergeCell ref="A3:AP3"/>
    <mergeCell ref="A4:AP4"/>
    <mergeCell ref="A5:AP5"/>
    <mergeCell ref="A6:AP6"/>
    <mergeCell ref="A7:AP7"/>
    <mergeCell ref="A8:AP8"/>
    <mergeCell ref="A9:AP9"/>
    <mergeCell ref="A10:AP10"/>
    <mergeCell ref="A11:AP11"/>
    <mergeCell ref="AJ12:AL12"/>
    <mergeCell ref="AJ13:AL13"/>
    <mergeCell ref="AI13:AI14"/>
    <mergeCell ref="AJ14:AL14"/>
    <mergeCell ref="AP13:AP14"/>
    <mergeCell ref="AJ15:AL15"/>
    <mergeCell ref="AI15:AI18"/>
    <mergeCell ref="AJ16:AL16"/>
    <mergeCell ref="AP15:AP18"/>
    <mergeCell ref="AJ17:AL17"/>
    <mergeCell ref="AJ18:AL18"/>
    <mergeCell ref="AJ19:AL19"/>
    <mergeCell ref="AI19:AI21"/>
    <mergeCell ref="AJ20:AL20"/>
    <mergeCell ref="AP19:AP21"/>
    <mergeCell ref="A21:AG21"/>
    <mergeCell ref="AJ21:AL21"/>
    <mergeCell ref="AJ22:AL22"/>
    <mergeCell ref="AI22:AI26"/>
    <mergeCell ref="AJ23:AL23"/>
    <mergeCell ref="AP22:AP26"/>
    <mergeCell ref="A24:C24"/>
    <mergeCell ref="AJ24:AL24"/>
    <mergeCell ref="A25:B25"/>
    <mergeCell ref="AJ25:AL25"/>
    <mergeCell ref="AJ26:AL26"/>
    <mergeCell ref="AJ27:AL27"/>
    <mergeCell ref="AI27:AI29"/>
    <mergeCell ref="AJ28:AL28"/>
    <mergeCell ref="AP27:AP29"/>
    <mergeCell ref="A29:F29"/>
    <mergeCell ref="AJ29:AL29"/>
    <mergeCell ref="A30:D30"/>
    <mergeCell ref="AJ30:AL30"/>
    <mergeCell ref="AI30:AI32"/>
    <mergeCell ref="AJ31:AL31"/>
    <mergeCell ref="AP30:AP31"/>
    <mergeCell ref="AJ32:AL32"/>
    <mergeCell ref="AO32:AP32"/>
    <mergeCell ref="A34:C34"/>
    <mergeCell ref="AI34:AN34"/>
    <mergeCell ref="A35:C35"/>
    <mergeCell ref="AI35:AL35"/>
    <mergeCell ref="A36:C36"/>
    <mergeCell ref="AI36:AL36"/>
    <mergeCell ref="AN35:AN36"/>
    <mergeCell ref="A37:C37"/>
  </mergeCells>
  <hyperlinks>
    <hyperlink ref="A7" r:id="rId1"/>
  </hyperlinks>
  <pageMargins left="0.3" right="0.3" top="0.3070229956494717" bottom="0.21687929342492637" header="0" footer="0"/>
  <pageSetup paperSize="14" orientation="landscape" horizontalDpi="4294967295" verticalDpi="4294967295" scale="100" fitToWidth="1" fitToHeight="0" firstPageNumber="1" useFirstPageNumber="1" copies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February</vt:lpstr>
      <vt:lpstr>Detailed 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PC-Library-01</dc:creator>
  <cp:lastModifiedBy>Ced Ambal</cp:lastModifiedBy>
  <dcterms:created xsi:type="dcterms:W3CDTF">2023-12-02T01:57:00Z</dcterms:created>
  <dcterms:modified xsi:type="dcterms:W3CDTF">2026-03-03T04:42:27Z</dcterms:modified>
</cp:coreProperties>
</file>